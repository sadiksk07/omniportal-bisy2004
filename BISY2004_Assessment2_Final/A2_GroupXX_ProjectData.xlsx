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 &amp; Team" sheetId="1" state="visible" r:id="rId1"/>
    <sheet xmlns:r="http://schemas.openxmlformats.org/officeDocument/2006/relationships" name="WBS &amp; Schedule Data" sheetId="2" state="visible" r:id="rId2"/>
    <sheet xmlns:r="http://schemas.openxmlformats.org/officeDocument/2006/relationships" name="Cost &amp; Budget Plan" sheetId="3" state="visible" r:id="rId3"/>
    <sheet xmlns:r="http://schemas.openxmlformats.org/officeDocument/2006/relationships" name="Risk Register &amp; Heat Map" sheetId="4" state="visible" r:id="rId4"/>
    <sheet xmlns:r="http://schemas.openxmlformats.org/officeDocument/2006/relationships" name="Stakeholders &amp; Communication" sheetId="5" state="visible" r:id="rId5"/>
    <sheet xmlns:r="http://schemas.openxmlformats.org/officeDocument/2006/relationships" name="Quality, Change &amp; RACI" sheetId="6" state="visible" r:id="rId6"/>
    <sheet xmlns:r="http://schemas.openxmlformats.org/officeDocument/2006/relationships" name="Tracking &amp; EVM Dashboard" sheetId="7" state="visible" r:id="rId7"/>
    <sheet xmlns:r="http://schemas.openxmlformats.org/officeDocument/2006/relationships" name="Issues, Closure &amp; Less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"/>
  </numFmts>
  <fonts count="15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b val="1"/>
      <color rgb="004A5568"/>
      <sz val="11"/>
    </font>
    <font>
      <name val="Segoe UI"/>
      <b val="1"/>
      <sz val="10"/>
    </font>
    <font>
      <name val="Segoe UI"/>
      <sz val="9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b val="1"/>
      <color rgb="00721C24"/>
      <sz val="9"/>
    </font>
    <font>
      <name val="Segoe UI"/>
      <b val="1"/>
      <color rgb="00004085"/>
      <sz val="9"/>
    </font>
    <font>
      <name val="Segoe UI"/>
      <b val="1"/>
      <color rgb="00A65B00"/>
      <sz val="9"/>
    </font>
    <font>
      <name val="Segoe UI"/>
      <b val="1"/>
      <color rgb="00856404"/>
      <sz val="9"/>
    </font>
    <font>
      <name val="Segoe UI"/>
      <b val="1"/>
      <color rgb="00155724"/>
      <sz val="9"/>
    </font>
    <font>
      <name val="Segoe UI"/>
      <b val="1"/>
      <color rgb="00A65B00"/>
      <sz val="10"/>
    </font>
    <font>
      <name val="Segoe UI"/>
      <b val="1"/>
      <color rgb="00155724"/>
      <sz val="10"/>
    </font>
    <font>
      <name val="Segoe UI"/>
      <b val="1"/>
      <color rgb="001B365D"/>
      <sz val="14"/>
    </font>
  </fonts>
  <fills count="10">
    <fill>
      <patternFill/>
    </fill>
    <fill>
      <patternFill patternType="gray125"/>
    </fill>
    <fill>
      <patternFill patternType="solid">
        <fgColor rgb="00EBF1F5"/>
        <bgColor rgb="00EBF1F5"/>
      </patternFill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CCE5FF"/>
        <bgColor rgb="00CCE5FF"/>
      </patternFill>
    </fill>
    <fill>
      <patternFill patternType="solid">
        <fgColor rgb="00FFE5D0"/>
        <bgColor rgb="00FFE5D0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4F6F9"/>
        <bgColor rgb="00F4F6F9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double">
        <color rgb="001B365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2" pivotButton="0" quotePrefix="0" xfId="0"/>
    <xf numFmtId="0" fontId="4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4" fillId="2" borderId="1" pivotButton="0" quotePrefix="0" xfId="0"/>
    <xf numFmtId="164" fontId="4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14" fillId="2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165" fontId="14" fillId="6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5" customWidth="1" min="3" max="3"/>
    <col width="36" customWidth="1" min="4" max="4"/>
    <col width="38" customWidth="1" min="5" max="5"/>
  </cols>
  <sheetData>
    <row r="1">
      <c r="A1" s="1" t="inlineStr">
        <is>
          <t>BISY2004 PROJECT MANAGEMENT — ASSESSMENT 2 ARTEFACT</t>
        </is>
      </c>
    </row>
    <row r="2">
      <c r="A2" s="2" t="inlineStr">
        <is>
          <t>Project OmniPortal: University Student Portal Consolidation</t>
        </is>
      </c>
    </row>
    <row r="3"/>
    <row r="4" ht="24" customHeight="1">
      <c r="A4" s="3" t="inlineStr">
        <is>
          <t>Selected Scenario</t>
        </is>
      </c>
      <c r="B4" s="4" t="inlineStr">
        <is>
          <t>Scenario C: University Student Portal Consolidation</t>
        </is>
      </c>
    </row>
    <row r="5" ht="24" customHeight="1">
      <c r="A5" s="3" t="inlineStr">
        <is>
          <t>Sponsoring Institution</t>
        </is>
      </c>
      <c r="B5" s="4" t="inlineStr">
        <is>
          <t>Apex Metropolitan University (28,000 active students, 3,200 staff)</t>
        </is>
      </c>
    </row>
    <row r="6" ht="24" customHeight="1">
      <c r="A6" s="3" t="inlineStr">
        <is>
          <t>Business Problem / Need</t>
        </is>
      </c>
      <c r="B6" s="4" t="inlineStr">
        <is>
          <t>Students navigate 4 disjointed legacy platforms (Blackboard LMS, Ellucian Banner SIS, TouchNet Fees, and Zendesk Support). Fragmented logins cause a 42% helpdesk enquiry load during enrolment, 18% record desynchronization, and high annual multi-vendor licensing costs ($185,000/yr).</t>
        </is>
      </c>
    </row>
    <row r="7" ht="24" customHeight="1">
      <c r="A7" s="3" t="inlineStr">
        <is>
          <t>Project Purpose</t>
        </is>
      </c>
      <c r="B7" s="4" t="inlineStr">
        <is>
          <t>Deliver a centralized, cloud-hosted responsive web and mobile portal ('OmniPortal') integrating single sign-on (SSO), unified student records, course enrolment, timetable management, and automated tuition payment processing.</t>
        </is>
      </c>
    </row>
    <row r="8" ht="48" customHeight="1">
      <c r="A8" s="3" t="inlineStr">
        <is>
          <t>Key Objectives</t>
        </is>
      </c>
      <c r="B8" s="4" t="inlineStr">
        <is>
          <t>1. Complete consolidation within 24 weeks (120 working days) prior to Semester 1 enrolment.
2. Restrict total capital and operational expenditure to the approved $450,000 budget cap.
3. Achieve zero data loss during the migration of 28,000 student records.
4. Deliver 99.95% system uptime and sub-2.0s page load under a 12,000 concurrent user load.</t>
        </is>
      </c>
    </row>
    <row r="9" ht="24" customHeight="1">
      <c r="A9" s="3" t="inlineStr">
        <is>
          <t>Development Lifecycle</t>
        </is>
      </c>
      <c r="B9" s="4" t="inlineStr">
        <is>
          <t>Hybrid Agile-Waterfall: Predictive Waterfall for Initial Architecture, Data Privacy Governance, Infrastructure Provisioning, and Final Deployment; 2-Week Agile Sprints for UX/UI wireframing, feature development, and API integration.</t>
        </is>
      </c>
    </row>
    <row r="10" ht="24" customHeight="1">
      <c r="A10" s="3" t="inlineStr">
        <is>
          <t>Approved Budget Cap</t>
        </is>
      </c>
      <c r="B10" s="4" t="inlineStr">
        <is>
          <t>$450,000 AUD (Capex + Opex incl. 10% Contingency Reserve &amp; 5% Management Reserve)</t>
        </is>
      </c>
    </row>
    <row r="11" ht="24" customHeight="1">
      <c r="A11" s="3" t="inlineStr">
        <is>
          <t>Project Baseline Window</t>
        </is>
      </c>
      <c r="B11" s="4" t="inlineStr">
        <is>
          <t>Baseline Start: 02 February 2026 | Baseline Finish: 17 July 2026 (24 Calendar Weeks)</t>
        </is>
      </c>
    </row>
    <row r="12"/>
    <row r="13">
      <c r="A13" s="5" t="inlineStr">
        <is>
          <t>GROUP MEMBERS &amp; PROJECT ROLE RESPONSIBILITY MATRIX</t>
        </is>
      </c>
    </row>
    <row r="14" ht="28" customHeight="1">
      <c r="A14" s="6" t="inlineStr">
        <is>
          <t>Student Name</t>
        </is>
      </c>
      <c r="B14" s="6" t="inlineStr">
        <is>
          <t>Student ID</t>
        </is>
      </c>
      <c r="C14" s="6" t="inlineStr">
        <is>
          <t>Assigned Project Role</t>
        </is>
      </c>
      <c r="D14" s="6" t="inlineStr">
        <is>
          <t>Assessment Responsibility</t>
        </is>
      </c>
      <c r="E14" s="6" t="inlineStr">
        <is>
          <t>Maintained Artefacts</t>
        </is>
      </c>
    </row>
    <row r="15" ht="30" customHeight="1">
      <c r="A15" s="4" t="inlineStr">
        <is>
          <t>Tanvir Ahmed</t>
        </is>
      </c>
      <c r="B15" s="4" t="inlineStr">
        <is>
          <t>238983</t>
        </is>
      </c>
      <c r="C15" s="4" t="inlineStr">
        <is>
          <t>Project Lead &amp; Systems Architect</t>
        </is>
      </c>
      <c r="D15" s="4" t="inlineStr">
        <is>
          <t>Section 1 (Overview, Charter, Scope, WBS) &amp; Section 2 (Schedule, Cost, Critical Path)</t>
        </is>
      </c>
      <c r="E15" s="4" t="inlineStr">
        <is>
          <t>WBS (draw.io), ProjectLibre Schedule (.pod), Critical Path Analysis, Baseline Cost Model</t>
        </is>
      </c>
    </row>
    <row r="16" ht="30" customHeight="1">
      <c r="A16" s="4" t="inlineStr">
        <is>
          <t>Momen Ahmed</t>
        </is>
      </c>
      <c r="B16" s="4" t="inlineStr">
        <is>
          <t>242048</t>
        </is>
      </c>
      <c r="C16" s="4" t="inlineStr">
        <is>
          <t>Risk, Finance &amp; Governance Lead</t>
        </is>
      </c>
      <c r="D16" s="4" t="inlineStr">
        <is>
          <t>Section 3 (Risk Register, Heat Map, Stakeholder Analysis, Communication Plan)</t>
        </is>
      </c>
      <c r="E16" s="4" t="inlineStr">
        <is>
          <t>Risk Register &amp; 5x5 Heat Map, Stakeholder Matrix, Power-Interest Grid, Communication Plan</t>
        </is>
      </c>
    </row>
    <row r="17" ht="30" customHeight="1">
      <c r="A17" s="4" t="inlineStr">
        <is>
          <t>MD Rejvi Jaman Mafti</t>
        </is>
      </c>
      <c r="B17" s="4" t="inlineStr">
        <is>
          <t>241964</t>
        </is>
      </c>
      <c r="C17" s="4" t="inlineStr">
        <is>
          <t>Quality, Delivery &amp; Tracking Lead</t>
        </is>
      </c>
      <c r="D17" s="4" t="inlineStr">
        <is>
          <t>Section 4 (Quality, Change, RACI), Section 5 (Trello, Dashboard), Section 6 (Integration)</t>
        </is>
      </c>
      <c r="E17" s="4" t="inlineStr">
        <is>
          <t>Quality Metrics, Change Log (CR-01), RACI Matrix, Trello Board, Status &amp; EVM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18" customWidth="1" min="4" max="4"/>
    <col width="14" customWidth="1" min="5" max="5"/>
    <col width="28" customWidth="1" min="6" max="6"/>
    <col width="14" customWidth="1" min="7" max="7"/>
    <col width="17" customWidth="1" min="8" max="8"/>
  </cols>
  <sheetData>
    <row r="1">
      <c r="A1" s="1" t="inlineStr">
        <is>
          <t>WORK BREAKDOWN STRUCTURE (WBS) &amp; PROJECTLIBRE SCHEDULE DATA</t>
        </is>
      </c>
    </row>
    <row r="2">
      <c r="A2" s="2" t="inlineStr">
        <is>
          <t>Exact Task Breakdown, Predecessors, Durations, Resources, and Critical Path Tagging</t>
        </is>
      </c>
    </row>
    <row r="3"/>
    <row r="4" ht="28" customHeight="1">
      <c r="A4" s="6" t="inlineStr">
        <is>
          <t>Task ID</t>
        </is>
      </c>
      <c r="B4" s="6" t="inlineStr">
        <is>
          <t>WBS Code</t>
        </is>
      </c>
      <c r="C4" s="6" t="inlineStr">
        <is>
          <t>Task Name</t>
        </is>
      </c>
      <c r="D4" s="6" t="inlineStr">
        <is>
          <t>Duration (Days)</t>
        </is>
      </c>
      <c r="E4" s="6" t="inlineStr">
        <is>
          <t>Predecessors</t>
        </is>
      </c>
      <c r="F4" s="6" t="inlineStr">
        <is>
          <t>Assigned Resources</t>
        </is>
      </c>
      <c r="G4" s="6" t="inlineStr">
        <is>
          <t>Cost ($)</t>
        </is>
      </c>
      <c r="H4" s="6" t="inlineStr">
        <is>
          <t>Critical Path?</t>
        </is>
      </c>
    </row>
    <row r="5" ht="20" customHeight="1">
      <c r="A5" s="7" t="n">
        <v>1</v>
      </c>
      <c r="B5" s="7" t="inlineStr">
        <is>
          <t>1.0</t>
        </is>
      </c>
      <c r="C5" s="8" t="inlineStr">
        <is>
          <t>PROJECT INITIATION &amp; GOVERNANCE</t>
        </is>
      </c>
      <c r="D5" s="7" t="n">
        <v>15</v>
      </c>
      <c r="E5" s="8" t="inlineStr"/>
      <c r="F5" s="8" t="inlineStr">
        <is>
          <t>PM, Architect</t>
        </is>
      </c>
      <c r="G5" s="9" t="n">
        <v>16500</v>
      </c>
      <c r="H5" s="7" t="inlineStr">
        <is>
          <t>Yes</t>
        </is>
      </c>
    </row>
    <row r="6" ht="20" customHeight="1">
      <c r="A6" s="10" t="n">
        <v>2</v>
      </c>
      <c r="B6" s="10" t="inlineStr">
        <is>
          <t>1.1</t>
        </is>
      </c>
      <c r="C6" s="11" t="inlineStr">
        <is>
          <t>Project Charter &amp; Stakeholder Approval</t>
        </is>
      </c>
      <c r="D6" s="10" t="n">
        <v>5</v>
      </c>
      <c r="E6" s="11" t="inlineStr"/>
      <c r="F6" s="11" t="inlineStr">
        <is>
          <t>PM, Sponsor</t>
        </is>
      </c>
      <c r="G6" s="12" t="n">
        <v>4500</v>
      </c>
      <c r="H6" s="13" t="inlineStr">
        <is>
          <t>Yes</t>
        </is>
      </c>
    </row>
    <row r="7" ht="20" customHeight="1">
      <c r="A7" s="10" t="n">
        <v>3</v>
      </c>
      <c r="B7" s="10" t="inlineStr">
        <is>
          <t>1.2</t>
        </is>
      </c>
      <c r="C7" s="11" t="inlineStr">
        <is>
          <t>Project Management Plan &amp; Risk Framework</t>
        </is>
      </c>
      <c r="D7" s="10" t="n">
        <v>5</v>
      </c>
      <c r="E7" s="11" t="inlineStr">
        <is>
          <t>2</t>
        </is>
      </c>
      <c r="F7" s="11" t="inlineStr">
        <is>
          <t>PM</t>
        </is>
      </c>
      <c r="G7" s="12" t="n">
        <v>3800</v>
      </c>
      <c r="H7" s="13" t="inlineStr">
        <is>
          <t>Yes</t>
        </is>
      </c>
    </row>
    <row r="8" ht="20" customHeight="1">
      <c r="A8" s="10" t="n">
        <v>4</v>
      </c>
      <c r="B8" s="10" t="inlineStr">
        <is>
          <t>1.3</t>
        </is>
      </c>
      <c r="C8" s="11" t="inlineStr">
        <is>
          <t>Initial Kickoff &amp; Governance Committee</t>
        </is>
      </c>
      <c r="D8" s="10" t="n">
        <v>5</v>
      </c>
      <c r="E8" s="11" t="inlineStr">
        <is>
          <t>3</t>
        </is>
      </c>
      <c r="F8" s="11" t="inlineStr">
        <is>
          <t>PM, All Leads</t>
        </is>
      </c>
      <c r="G8" s="12" t="n">
        <v>8200</v>
      </c>
      <c r="H8" s="13" t="inlineStr">
        <is>
          <t>Yes</t>
        </is>
      </c>
    </row>
    <row r="9" ht="20" customHeight="1">
      <c r="A9" s="14" t="n">
        <v>5</v>
      </c>
      <c r="B9" s="14" t="inlineStr">
        <is>
          <t>1.4</t>
        </is>
      </c>
      <c r="C9" s="15" t="inlineStr">
        <is>
          <t>MILESTONE 1: Project Charter Signed Off</t>
        </is>
      </c>
      <c r="D9" s="14" t="n">
        <v>0</v>
      </c>
      <c r="E9" s="15" t="inlineStr">
        <is>
          <t>4</t>
        </is>
      </c>
      <c r="F9" s="15" t="inlineStr">
        <is>
          <t>PM, Sponsor</t>
        </is>
      </c>
      <c r="G9" s="16" t="n">
        <v>0</v>
      </c>
      <c r="H9" s="14" t="inlineStr">
        <is>
          <t>Yes</t>
        </is>
      </c>
    </row>
    <row r="10" ht="20" customHeight="1">
      <c r="A10" s="7" t="n">
        <v>6</v>
      </c>
      <c r="B10" s="7" t="inlineStr">
        <is>
          <t>2.0</t>
        </is>
      </c>
      <c r="C10" s="8" t="inlineStr">
        <is>
          <t>REQUIREMENTS &amp; ARCHITECTURE</t>
        </is>
      </c>
      <c r="D10" s="7" t="n">
        <v>20</v>
      </c>
      <c r="E10" s="8" t="inlineStr"/>
      <c r="F10" s="8" t="inlineStr">
        <is>
          <t>Architect, BA, Security</t>
        </is>
      </c>
      <c r="G10" s="9" t="n">
        <v>31200</v>
      </c>
      <c r="H10" s="7" t="inlineStr">
        <is>
          <t>Yes</t>
        </is>
      </c>
    </row>
    <row r="11" ht="20" customHeight="1">
      <c r="A11" s="10" t="n">
        <v>7</v>
      </c>
      <c r="B11" s="10" t="inlineStr">
        <is>
          <t>2.1</t>
        </is>
      </c>
      <c r="C11" s="11" t="inlineStr">
        <is>
          <t>Stakeholder Requirements Gathering</t>
        </is>
      </c>
      <c r="D11" s="10" t="n">
        <v>8</v>
      </c>
      <c r="E11" s="11" t="inlineStr">
        <is>
          <t>5</t>
        </is>
      </c>
      <c r="F11" s="11" t="inlineStr">
        <is>
          <t>BA, UX Lead</t>
        </is>
      </c>
      <c r="G11" s="12" t="n">
        <v>9600</v>
      </c>
      <c r="H11" s="13" t="inlineStr">
        <is>
          <t>Yes</t>
        </is>
      </c>
    </row>
    <row r="12" ht="20" customHeight="1">
      <c r="A12" s="10" t="n">
        <v>8</v>
      </c>
      <c r="B12" s="10" t="inlineStr">
        <is>
          <t>2.2</t>
        </is>
      </c>
      <c r="C12" s="11" t="inlineStr">
        <is>
          <t>Data Privacy &amp; Compliance Review (GDPR/APP)</t>
        </is>
      </c>
      <c r="D12" s="10" t="n">
        <v>6</v>
      </c>
      <c r="E12" s="11" t="inlineStr">
        <is>
          <t>7</t>
        </is>
      </c>
      <c r="F12" s="11" t="inlineStr">
        <is>
          <t>Security Officer, BA</t>
        </is>
      </c>
      <c r="G12" s="12" t="n">
        <v>6400</v>
      </c>
      <c r="H12" s="10" t="inlineStr">
        <is>
          <t>No</t>
        </is>
      </c>
    </row>
    <row r="13" ht="20" customHeight="1">
      <c r="A13" s="10" t="n">
        <v>9</v>
      </c>
      <c r="B13" s="10" t="inlineStr">
        <is>
          <t>2.3</t>
        </is>
      </c>
      <c r="C13" s="11" t="inlineStr">
        <is>
          <t>Technical Architecture &amp; Cloud Specification</t>
        </is>
      </c>
      <c r="D13" s="10" t="n">
        <v>10</v>
      </c>
      <c r="E13" s="11" t="inlineStr">
        <is>
          <t>7</t>
        </is>
      </c>
      <c r="F13" s="11" t="inlineStr">
        <is>
          <t>Architect, Lead Dev</t>
        </is>
      </c>
      <c r="G13" s="12" t="n">
        <v>12800</v>
      </c>
      <c r="H13" s="13" t="inlineStr">
        <is>
          <t>Yes</t>
        </is>
      </c>
    </row>
    <row r="14" ht="20" customHeight="1">
      <c r="A14" s="10" t="n">
        <v>10</v>
      </c>
      <c r="B14" s="10" t="inlineStr">
        <is>
          <t>2.4</t>
        </is>
      </c>
      <c r="C14" s="11" t="inlineStr">
        <is>
          <t>API Integration Protocols (SIS, LMS, Payments)</t>
        </is>
      </c>
      <c r="D14" s="10" t="n">
        <v>7</v>
      </c>
      <c r="E14" s="11" t="inlineStr">
        <is>
          <t>9</t>
        </is>
      </c>
      <c r="F14" s="11" t="inlineStr">
        <is>
          <t>Architect, Backend Dev</t>
        </is>
      </c>
      <c r="G14" s="12" t="n">
        <v>8800</v>
      </c>
      <c r="H14" s="13" t="inlineStr">
        <is>
          <t>Yes</t>
        </is>
      </c>
    </row>
    <row r="15" ht="20" customHeight="1">
      <c r="A15" s="14" t="n">
        <v>11</v>
      </c>
      <c r="B15" s="14" t="inlineStr">
        <is>
          <t>2.5</t>
        </is>
      </c>
      <c r="C15" s="15" t="inlineStr">
        <is>
          <t>MILESTONE 2: Architecture &amp; Specs Approved</t>
        </is>
      </c>
      <c r="D15" s="14" t="n">
        <v>0</v>
      </c>
      <c r="E15" s="15" t="inlineStr">
        <is>
          <t>10</t>
        </is>
      </c>
      <c r="F15" s="15" t="inlineStr">
        <is>
          <t>Architect, PM</t>
        </is>
      </c>
      <c r="G15" s="16" t="n">
        <v>0</v>
      </c>
      <c r="H15" s="14" t="inlineStr">
        <is>
          <t>Yes</t>
        </is>
      </c>
    </row>
    <row r="16" ht="20" customHeight="1">
      <c r="A16" s="7" t="n">
        <v>12</v>
      </c>
      <c r="B16" s="7" t="inlineStr">
        <is>
          <t>3.0</t>
        </is>
      </c>
      <c r="C16" s="8" t="inlineStr">
        <is>
          <t>DATA MIGRATION &amp; SECURITY SETUP</t>
        </is>
      </c>
      <c r="D16" s="7" t="n">
        <v>25</v>
      </c>
      <c r="E16" s="8" t="inlineStr"/>
      <c r="F16" s="8" t="inlineStr">
        <is>
          <t>DB Lead, Security Eng</t>
        </is>
      </c>
      <c r="G16" s="9" t="n">
        <v>39500</v>
      </c>
      <c r="H16" s="7" t="inlineStr">
        <is>
          <t>Yes</t>
        </is>
      </c>
    </row>
    <row r="17" ht="20" customHeight="1">
      <c r="A17" s="10" t="n">
        <v>13</v>
      </c>
      <c r="B17" s="10" t="inlineStr">
        <is>
          <t>3.1</t>
        </is>
      </c>
      <c r="C17" s="11" t="inlineStr">
        <is>
          <t>Legacy Data Profiling &amp; Cleansing</t>
        </is>
      </c>
      <c r="D17" s="10" t="n">
        <v>10</v>
      </c>
      <c r="E17" s="11" t="inlineStr">
        <is>
          <t>11</t>
        </is>
      </c>
      <c r="F17" s="11" t="inlineStr">
        <is>
          <t>DB Lead, Data Analyst</t>
        </is>
      </c>
      <c r="G17" s="12" t="n">
        <v>14000</v>
      </c>
      <c r="H17" s="13" t="inlineStr">
        <is>
          <t>Yes</t>
        </is>
      </c>
    </row>
    <row r="18" ht="20" customHeight="1">
      <c r="A18" s="10" t="n">
        <v>14</v>
      </c>
      <c r="B18" s="10" t="inlineStr">
        <is>
          <t>3.2</t>
        </is>
      </c>
      <c r="C18" s="11" t="inlineStr">
        <is>
          <t>Data Mapping &amp; Automated ETL Scripts Dev</t>
        </is>
      </c>
      <c r="D18" s="10" t="n">
        <v>10</v>
      </c>
      <c r="E18" s="11" t="inlineStr">
        <is>
          <t>13</t>
        </is>
      </c>
      <c r="F18" s="11" t="inlineStr">
        <is>
          <t>DB Lead, Backend Dev</t>
        </is>
      </c>
      <c r="G18" s="12" t="n">
        <v>15200</v>
      </c>
      <c r="H18" s="13" t="inlineStr">
        <is>
          <t>Yes</t>
        </is>
      </c>
    </row>
    <row r="19" ht="20" customHeight="1">
      <c r="A19" s="10" t="n">
        <v>15</v>
      </c>
      <c r="B19" s="10" t="inlineStr">
        <is>
          <t>3.3</t>
        </is>
      </c>
      <c r="C19" s="11" t="inlineStr">
        <is>
          <t>Cloud Database Schema &amp; Index Optimization</t>
        </is>
      </c>
      <c r="D19" s="10" t="n">
        <v>5</v>
      </c>
      <c r="E19" s="11" t="inlineStr">
        <is>
          <t>14</t>
        </is>
      </c>
      <c r="F19" s="11" t="inlineStr">
        <is>
          <t>DB Lead</t>
        </is>
      </c>
      <c r="G19" s="12" t="n">
        <v>6800</v>
      </c>
      <c r="H19" s="13" t="inlineStr">
        <is>
          <t>Yes</t>
        </is>
      </c>
    </row>
    <row r="20" ht="20" customHeight="1">
      <c r="A20" s="10" t="n">
        <v>16</v>
      </c>
      <c r="B20" s="10" t="inlineStr">
        <is>
          <t>3.4</t>
        </is>
      </c>
      <c r="C20" s="11" t="inlineStr">
        <is>
          <t>Data Encryption &amp; RBAC Setup</t>
        </is>
      </c>
      <c r="D20" s="10" t="n">
        <v>5</v>
      </c>
      <c r="E20" s="11" t="inlineStr">
        <is>
          <t>14</t>
        </is>
      </c>
      <c r="F20" s="11" t="inlineStr">
        <is>
          <t>Security Eng</t>
        </is>
      </c>
      <c r="G20" s="12" t="n">
        <v>5500</v>
      </c>
      <c r="H20" s="10" t="inlineStr">
        <is>
          <t>No</t>
        </is>
      </c>
    </row>
    <row r="21" ht="20" customHeight="1">
      <c r="A21" s="14" t="n">
        <v>17</v>
      </c>
      <c r="B21" s="14" t="inlineStr">
        <is>
          <t>3.5</t>
        </is>
      </c>
      <c r="C21" s="15" t="inlineStr">
        <is>
          <t>MILESTONE 3: Migration Scripts &amp; Security Ready</t>
        </is>
      </c>
      <c r="D21" s="14" t="n">
        <v>0</v>
      </c>
      <c r="E21" s="15" t="inlineStr">
        <is>
          <t>15,16</t>
        </is>
      </c>
      <c r="F21" s="15" t="inlineStr">
        <is>
          <t>DB Lead, Security</t>
        </is>
      </c>
      <c r="G21" s="16" t="n">
        <v>0</v>
      </c>
      <c r="H21" s="14" t="inlineStr">
        <is>
          <t>Yes</t>
        </is>
      </c>
    </row>
    <row r="22" ht="20" customHeight="1">
      <c r="A22" s="7" t="n">
        <v>18</v>
      </c>
      <c r="B22" s="7" t="inlineStr">
        <is>
          <t>4.0</t>
        </is>
      </c>
      <c r="C22" s="8" t="inlineStr">
        <is>
          <t>PORTAL CORE SYSTEM DEVELOPMENT</t>
        </is>
      </c>
      <c r="D22" s="7" t="n">
        <v>35</v>
      </c>
      <c r="E22" s="8" t="inlineStr"/>
      <c r="F22" s="8" t="inlineStr">
        <is>
          <t>Dev Team (Full Stack)</t>
        </is>
      </c>
      <c r="G22" s="9" t="n">
        <v>68000</v>
      </c>
      <c r="H22" s="7" t="inlineStr">
        <is>
          <t>Yes</t>
        </is>
      </c>
    </row>
    <row r="23" ht="20" customHeight="1">
      <c r="A23" s="10" t="n">
        <v>19</v>
      </c>
      <c r="B23" s="10" t="inlineStr">
        <is>
          <t>4.1</t>
        </is>
      </c>
      <c r="C23" s="11" t="inlineStr">
        <is>
          <t>Sprint 1: SSO &amp; Unified Authentication</t>
        </is>
      </c>
      <c r="D23" s="10" t="n">
        <v>10</v>
      </c>
      <c r="E23" s="11" t="inlineStr">
        <is>
          <t>17</t>
        </is>
      </c>
      <c r="F23" s="11" t="inlineStr">
        <is>
          <t>Lead Dev, Security</t>
        </is>
      </c>
      <c r="G23" s="12" t="n">
        <v>17500</v>
      </c>
      <c r="H23" s="13" t="inlineStr">
        <is>
          <t>Yes</t>
        </is>
      </c>
    </row>
    <row r="24" ht="20" customHeight="1">
      <c r="A24" s="10" t="n">
        <v>20</v>
      </c>
      <c r="B24" s="10" t="inlineStr">
        <is>
          <t>4.2</t>
        </is>
      </c>
      <c r="C24" s="11" t="inlineStr">
        <is>
          <t>Sprint 2: Academic Records &amp; Timetable Hub</t>
        </is>
      </c>
      <c r="D24" s="10" t="n">
        <v>10</v>
      </c>
      <c r="E24" s="11" t="inlineStr">
        <is>
          <t>19</t>
        </is>
      </c>
      <c r="F24" s="11" t="inlineStr">
        <is>
          <t>Full Stack Devs (2)</t>
        </is>
      </c>
      <c r="G24" s="12" t="n">
        <v>18200</v>
      </c>
      <c r="H24" s="13" t="inlineStr">
        <is>
          <t>Yes</t>
        </is>
      </c>
    </row>
    <row r="25" ht="20" customHeight="1">
      <c r="A25" s="10" t="n">
        <v>21</v>
      </c>
      <c r="B25" s="10" t="inlineStr">
        <is>
          <t>4.3</t>
        </is>
      </c>
      <c r="C25" s="11" t="inlineStr">
        <is>
          <t>Sprint 3: Course Enrolment &amp; Cart Flow</t>
        </is>
      </c>
      <c r="D25" s="10" t="n">
        <v>10</v>
      </c>
      <c r="E25" s="11" t="inlineStr">
        <is>
          <t>20</t>
        </is>
      </c>
      <c r="F25" s="11" t="inlineStr">
        <is>
          <t>Full Stack Devs (2)</t>
        </is>
      </c>
      <c r="G25" s="12" t="n">
        <v>18500</v>
      </c>
      <c r="H25" s="13" t="inlineStr">
        <is>
          <t>Yes</t>
        </is>
      </c>
    </row>
    <row r="26" ht="20" customHeight="1">
      <c r="A26" s="10" t="n">
        <v>22</v>
      </c>
      <c r="B26" s="10" t="inlineStr">
        <is>
          <t>4.4</t>
        </is>
      </c>
      <c r="C26" s="11" t="inlineStr">
        <is>
          <t>Sprint 4: Financial Payment Gateway Integration</t>
        </is>
      </c>
      <c r="D26" s="10" t="n">
        <v>8</v>
      </c>
      <c r="E26" s="11" t="inlineStr">
        <is>
          <t>21</t>
        </is>
      </c>
      <c r="F26" s="11" t="inlineStr">
        <is>
          <t>Lead Dev, FinTech Spec</t>
        </is>
      </c>
      <c r="G26" s="12" t="n">
        <v>13800</v>
      </c>
      <c r="H26" s="13" t="inlineStr">
        <is>
          <t>Yes</t>
        </is>
      </c>
    </row>
    <row r="27" ht="20" customHeight="1">
      <c r="A27" s="10" t="n">
        <v>23</v>
      </c>
      <c r="B27" s="10" t="inlineStr">
        <is>
          <t>4.5</t>
        </is>
      </c>
      <c r="C27" s="11" t="inlineStr">
        <is>
          <t>Sprint 5: Mobile UI Optimization &amp; Accessibility</t>
        </is>
      </c>
      <c r="D27" s="10" t="n">
        <v>7</v>
      </c>
      <c r="E27" s="11" t="inlineStr">
        <is>
          <t>21</t>
        </is>
      </c>
      <c r="F27" s="11" t="inlineStr">
        <is>
          <t>Frontend Dev, UX Lead</t>
        </is>
      </c>
      <c r="G27" s="12" t="n">
        <v>9800</v>
      </c>
      <c r="H27" s="10" t="inlineStr">
        <is>
          <t>No</t>
        </is>
      </c>
    </row>
    <row r="28" ht="20" customHeight="1">
      <c r="A28" s="14" t="n">
        <v>24</v>
      </c>
      <c r="B28" s="14" t="inlineStr">
        <is>
          <t>4.6</t>
        </is>
      </c>
      <c r="C28" s="15" t="inlineStr">
        <is>
          <t>MILESTONE 4: Core Development Feature Complete</t>
        </is>
      </c>
      <c r="D28" s="14" t="n">
        <v>0</v>
      </c>
      <c r="E28" s="15" t="inlineStr">
        <is>
          <t>22,23</t>
        </is>
      </c>
      <c r="F28" s="15" t="inlineStr">
        <is>
          <t>Lead Dev, PM</t>
        </is>
      </c>
      <c r="G28" s="16" t="n">
        <v>0</v>
      </c>
      <c r="H28" s="14" t="inlineStr">
        <is>
          <t>Yes</t>
        </is>
      </c>
    </row>
    <row r="29" ht="20" customHeight="1">
      <c r="A29" s="7" t="n">
        <v>25</v>
      </c>
      <c r="B29" s="7" t="inlineStr">
        <is>
          <t>5.0</t>
        </is>
      </c>
      <c r="C29" s="8" t="inlineStr">
        <is>
          <t>TESTING, QUALITY ASSURANCE &amp; PILOT</t>
        </is>
      </c>
      <c r="D29" s="7" t="n">
        <v>20</v>
      </c>
      <c r="E29" s="8" t="inlineStr"/>
      <c r="F29" s="8" t="inlineStr">
        <is>
          <t>QA Team, Security, Users</t>
        </is>
      </c>
      <c r="G29" s="9" t="n">
        <v>34800</v>
      </c>
      <c r="H29" s="7" t="inlineStr">
        <is>
          <t>Yes</t>
        </is>
      </c>
    </row>
    <row r="30" ht="20" customHeight="1">
      <c r="A30" s="10" t="n">
        <v>26</v>
      </c>
      <c r="B30" s="10" t="inlineStr">
        <is>
          <t>5.1</t>
        </is>
      </c>
      <c r="C30" s="11" t="inlineStr">
        <is>
          <t>Functional, Performance &amp; Load Testing</t>
        </is>
      </c>
      <c r="D30" s="10" t="n">
        <v>8</v>
      </c>
      <c r="E30" s="11" t="inlineStr">
        <is>
          <t>24</t>
        </is>
      </c>
      <c r="F30" s="11" t="inlineStr">
        <is>
          <t>QA Lead, Tester</t>
        </is>
      </c>
      <c r="G30" s="12" t="n">
        <v>11200</v>
      </c>
      <c r="H30" s="13" t="inlineStr">
        <is>
          <t>Yes</t>
        </is>
      </c>
    </row>
    <row r="31" ht="20" customHeight="1">
      <c r="A31" s="10" t="n">
        <v>27</v>
      </c>
      <c r="B31" s="10" t="inlineStr">
        <is>
          <t>5.2</t>
        </is>
      </c>
      <c r="C31" s="11" t="inlineStr">
        <is>
          <t>Independent Vulnerability &amp; Penetration Testing</t>
        </is>
      </c>
      <c r="D31" s="10" t="n">
        <v>5</v>
      </c>
      <c r="E31" s="11" t="inlineStr">
        <is>
          <t>26</t>
        </is>
      </c>
      <c r="F31" s="11" t="inlineStr">
        <is>
          <t>External Security Spec</t>
        </is>
      </c>
      <c r="G31" s="12" t="n">
        <v>8500</v>
      </c>
      <c r="H31" s="13" t="inlineStr">
        <is>
          <t>Yes</t>
        </is>
      </c>
    </row>
    <row r="32" ht="20" customHeight="1">
      <c r="A32" s="10" t="n">
        <v>28</v>
      </c>
      <c r="B32" s="10" t="inlineStr">
        <is>
          <t>5.3</t>
        </is>
      </c>
      <c r="C32" s="11" t="inlineStr">
        <is>
          <t>User Acceptance Testing (UAT) with Students/Staff</t>
        </is>
      </c>
      <c r="D32" s="10" t="n">
        <v>7</v>
      </c>
      <c r="E32" s="11" t="inlineStr">
        <is>
          <t>27</t>
        </is>
      </c>
      <c r="F32" s="11" t="inlineStr">
        <is>
          <t>QA Lead, BA, 50 Users</t>
        </is>
      </c>
      <c r="G32" s="12" t="n">
        <v>9500</v>
      </c>
      <c r="H32" s="13" t="inlineStr">
        <is>
          <t>Yes</t>
        </is>
      </c>
    </row>
    <row r="33" ht="20" customHeight="1">
      <c r="A33" s="10" t="n">
        <v>29</v>
      </c>
      <c r="B33" s="10" t="inlineStr">
        <is>
          <t>5.4</t>
        </is>
      </c>
      <c r="C33" s="11" t="inlineStr">
        <is>
          <t>Defect Remediation &amp; Stabilization</t>
        </is>
      </c>
      <c r="D33" s="10" t="n">
        <v>5</v>
      </c>
      <c r="E33" s="11" t="inlineStr">
        <is>
          <t>28</t>
        </is>
      </c>
      <c r="F33" s="11" t="inlineStr">
        <is>
          <t>Dev Team, QA Lead</t>
        </is>
      </c>
      <c r="G33" s="12" t="n">
        <v>5600</v>
      </c>
      <c r="H33" s="13" t="inlineStr">
        <is>
          <t>Yes</t>
        </is>
      </c>
    </row>
    <row r="34" ht="20" customHeight="1">
      <c r="A34" s="14" t="n">
        <v>30</v>
      </c>
      <c r="B34" s="14" t="inlineStr">
        <is>
          <t>5.5</t>
        </is>
      </c>
      <c r="C34" s="15" t="inlineStr">
        <is>
          <t>MILESTONE 5: UAT &amp; Security Sign-Off</t>
        </is>
      </c>
      <c r="D34" s="14" t="n">
        <v>0</v>
      </c>
      <c r="E34" s="15" t="inlineStr">
        <is>
          <t>29</t>
        </is>
      </c>
      <c r="F34" s="15" t="inlineStr">
        <is>
          <t>Sponsor, Registrar, PM</t>
        </is>
      </c>
      <c r="G34" s="16" t="n">
        <v>0</v>
      </c>
      <c r="H34" s="14" t="inlineStr">
        <is>
          <t>Yes</t>
        </is>
      </c>
    </row>
    <row r="35" ht="20" customHeight="1">
      <c r="A35" s="7" t="n">
        <v>31</v>
      </c>
      <c r="B35" s="7" t="inlineStr">
        <is>
          <t>6.0</t>
        </is>
      </c>
      <c r="C35" s="8" t="inlineStr">
        <is>
          <t>TRAINING, DEPLOYMENT &amp; CLOSURE</t>
        </is>
      </c>
      <c r="D35" s="7" t="n">
        <v>15</v>
      </c>
      <c r="E35" s="8" t="inlineStr"/>
      <c r="F35" s="8" t="inlineStr">
        <is>
          <t>Change Lead, PM, Ops</t>
        </is>
      </c>
      <c r="G35" s="9" t="n">
        <v>24200</v>
      </c>
      <c r="H35" s="7" t="inlineStr">
        <is>
          <t>Yes</t>
        </is>
      </c>
    </row>
    <row r="36" ht="20" customHeight="1">
      <c r="A36" s="10" t="n">
        <v>32</v>
      </c>
      <c r="B36" s="10" t="inlineStr">
        <is>
          <t>6.1</t>
        </is>
      </c>
      <c r="C36" s="11" t="inlineStr">
        <is>
          <t>End-User Guides &amp; Video Walkthroughs</t>
        </is>
      </c>
      <c r="D36" s="10" t="n">
        <v>5</v>
      </c>
      <c r="E36" s="11" t="inlineStr">
        <is>
          <t>30</t>
        </is>
      </c>
      <c r="F36" s="11" t="inlineStr">
        <is>
          <t>Change Lead, Technical Writer</t>
        </is>
      </c>
      <c r="G36" s="12" t="n">
        <v>5400</v>
      </c>
      <c r="H36" s="10" t="inlineStr">
        <is>
          <t>No</t>
        </is>
      </c>
    </row>
    <row r="37" ht="20" customHeight="1">
      <c r="A37" s="10" t="n">
        <v>33</v>
      </c>
      <c r="B37" s="10" t="inlineStr">
        <is>
          <t>6.2</t>
        </is>
      </c>
      <c r="C37" s="11" t="inlineStr">
        <is>
          <t>Staff Training &amp; Helpdesk Onboarding Clinics</t>
        </is>
      </c>
      <c r="D37" s="10" t="n">
        <v>7</v>
      </c>
      <c r="E37" s="11" t="inlineStr">
        <is>
          <t>30</t>
        </is>
      </c>
      <c r="F37" s="11" t="inlineStr">
        <is>
          <t>Change Lead, Trainer</t>
        </is>
      </c>
      <c r="G37" s="12" t="n">
        <v>7200</v>
      </c>
      <c r="H37" s="10" t="inlineStr">
        <is>
          <t>No</t>
        </is>
      </c>
    </row>
    <row r="38" ht="20" customHeight="1">
      <c r="A38" s="10" t="n">
        <v>34</v>
      </c>
      <c r="B38" s="10" t="inlineStr">
        <is>
          <t>6.3</t>
        </is>
      </c>
      <c r="C38" s="11" t="inlineStr">
        <is>
          <t>Production Cutover &amp; Blue-Green Cloud Deployment</t>
        </is>
      </c>
      <c r="D38" s="10" t="n">
        <v>4</v>
      </c>
      <c r="E38" s="11" t="inlineStr">
        <is>
          <t>30</t>
        </is>
      </c>
      <c r="F38" s="11" t="inlineStr">
        <is>
          <t>DevOps, Architect, DB Lead</t>
        </is>
      </c>
      <c r="G38" s="12" t="n">
        <v>8200</v>
      </c>
      <c r="H38" s="13" t="inlineStr">
        <is>
          <t>Yes</t>
        </is>
      </c>
    </row>
    <row r="39" ht="20" customHeight="1">
      <c r="A39" s="10" t="n">
        <v>35</v>
      </c>
      <c r="B39" s="10" t="inlineStr">
        <is>
          <t>6.4</t>
        </is>
      </c>
      <c r="C39" s="11" t="inlineStr">
        <is>
          <t>Post-Implementation Review &amp; Lessons Learned</t>
        </is>
      </c>
      <c r="D39" s="10" t="n">
        <v>4</v>
      </c>
      <c r="E39" s="11" t="inlineStr">
        <is>
          <t>34</t>
        </is>
      </c>
      <c r="F39" s="11" t="inlineStr">
        <is>
          <t>PM, Sponsor, Team</t>
        </is>
      </c>
      <c r="G39" s="12" t="n">
        <v>3400</v>
      </c>
      <c r="H39" s="13" t="inlineStr">
        <is>
          <t>Yes</t>
        </is>
      </c>
    </row>
    <row r="40" ht="20" customHeight="1">
      <c r="A40" s="14" t="n">
        <v>36</v>
      </c>
      <c r="B40" s="14" t="inlineStr">
        <is>
          <t>6.5</t>
        </is>
      </c>
      <c r="C40" s="15" t="inlineStr">
        <is>
          <t>MILESTONE 6: Final Project Closure &amp; Decommissioning</t>
        </is>
      </c>
      <c r="D40" s="14" t="n">
        <v>0</v>
      </c>
      <c r="E40" s="15" t="inlineStr">
        <is>
          <t>35</t>
        </is>
      </c>
      <c r="F40" s="15" t="inlineStr">
        <is>
          <t>Sponsor, PM</t>
        </is>
      </c>
      <c r="G40" s="16" t="n">
        <v>0</v>
      </c>
      <c r="H40" s="1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2" customWidth="1" min="3" max="3"/>
    <col width="22" customWidth="1" min="4" max="4"/>
    <col width="20" customWidth="1" min="5" max="5"/>
    <col width="20" customWidth="1" min="6" max="6"/>
  </cols>
  <sheetData>
    <row r="1">
      <c r="A1" s="1" t="inlineStr">
        <is>
          <t>PROJECT BUDGET, LABOUR RATES &amp; EXPENDITURE BREAKDOWN</t>
        </is>
      </c>
    </row>
    <row r="2">
      <c r="A2" s="2" t="inlineStr">
        <is>
          <t>Labour Rates, Capex, Opex, Contingency and Total Cost Baseline</t>
        </is>
      </c>
    </row>
    <row r="3"/>
    <row r="4">
      <c r="A4" s="5" t="inlineStr">
        <is>
          <t>1. HOURLY LABOUR RATES (8 hrs/day)</t>
        </is>
      </c>
    </row>
    <row r="5" ht="28" customHeight="1">
      <c r="A5" s="6" t="inlineStr">
        <is>
          <t>Resource Role</t>
        </is>
      </c>
      <c r="B5" s="6" t="inlineStr">
        <is>
          <t>Team Member / Resource</t>
        </is>
      </c>
      <c r="C5" s="6" t="inlineStr">
        <is>
          <t>Hourly Rate ($/hr)</t>
        </is>
      </c>
      <c r="D5" s="6" t="inlineStr">
        <is>
          <t>Daily Rate ($/day)</t>
        </is>
      </c>
      <c r="E5" s="6" t="inlineStr">
        <is>
          <t>Allocated Days</t>
        </is>
      </c>
      <c r="F5" s="6" t="inlineStr">
        <is>
          <t>Subtotal Cost ($)</t>
        </is>
      </c>
    </row>
    <row r="6" ht="20" customHeight="1">
      <c r="A6" s="11" t="inlineStr">
        <is>
          <t>Project Manager</t>
        </is>
      </c>
      <c r="B6" s="11" t="inlineStr">
        <is>
          <t>Tanvir Ahmed</t>
        </is>
      </c>
      <c r="C6" s="12" t="n">
        <v>95</v>
      </c>
      <c r="D6" s="12" t="n">
        <v>760</v>
      </c>
      <c r="E6" s="10" t="n">
        <v>50</v>
      </c>
      <c r="F6" s="12" t="n">
        <v>38000</v>
      </c>
    </row>
    <row r="7" ht="20" customHeight="1">
      <c r="A7" s="11" t="inlineStr">
        <is>
          <t>Lead Solutions Architect</t>
        </is>
      </c>
      <c r="B7" s="11" t="inlineStr">
        <is>
          <t>Contractor</t>
        </is>
      </c>
      <c r="C7" s="12" t="n">
        <v>115</v>
      </c>
      <c r="D7" s="12" t="n">
        <v>920</v>
      </c>
      <c r="E7" s="10" t="n">
        <v>35</v>
      </c>
      <c r="F7" s="12" t="n">
        <v>32200</v>
      </c>
    </row>
    <row r="8" ht="20" customHeight="1">
      <c r="A8" s="11" t="inlineStr">
        <is>
          <t>Senior Full-Stack Developers (2)</t>
        </is>
      </c>
      <c r="B8" s="11" t="inlineStr">
        <is>
          <t>Dev Team 1 &amp; 2</t>
        </is>
      </c>
      <c r="C8" s="12" t="n">
        <v>85</v>
      </c>
      <c r="D8" s="12" t="n">
        <v>680</v>
      </c>
      <c r="E8" s="10" t="n">
        <v>80</v>
      </c>
      <c r="F8" s="12" t="n">
        <v>54400</v>
      </c>
    </row>
    <row r="9" ht="20" customHeight="1">
      <c r="A9" s="11" t="inlineStr">
        <is>
          <t>Database &amp; Migration Specialist</t>
        </is>
      </c>
      <c r="B9" s="11" t="inlineStr">
        <is>
          <t>Contractor / Momen A.</t>
        </is>
      </c>
      <c r="C9" s="12" t="n">
        <v>95</v>
      </c>
      <c r="D9" s="12" t="n">
        <v>760</v>
      </c>
      <c r="E9" s="10" t="n">
        <v>45</v>
      </c>
      <c r="F9" s="12" t="n">
        <v>34200</v>
      </c>
    </row>
    <row r="10" ht="20" customHeight="1">
      <c r="A10" s="11" t="inlineStr">
        <is>
          <t>QA &amp; Security Test Engineer</t>
        </is>
      </c>
      <c r="B10" s="11" t="inlineStr">
        <is>
          <t>MD Rejvi Jaman M.</t>
        </is>
      </c>
      <c r="C10" s="12" t="n">
        <v>80</v>
      </c>
      <c r="D10" s="12" t="n">
        <v>640</v>
      </c>
      <c r="E10" s="10" t="n">
        <v>40</v>
      </c>
      <c r="F10" s="12" t="n">
        <v>25600</v>
      </c>
    </row>
    <row r="11" ht="20" customHeight="1">
      <c r="A11" s="11" t="inlineStr">
        <is>
          <t>Change Management &amp; Training Specialist</t>
        </is>
      </c>
      <c r="B11" s="11" t="inlineStr">
        <is>
          <t>Change Lead</t>
        </is>
      </c>
      <c r="C11" s="12" t="n">
        <v>75</v>
      </c>
      <c r="D11" s="12" t="n">
        <v>600</v>
      </c>
      <c r="E11" s="10" t="n">
        <v>30</v>
      </c>
      <c r="F11" s="12" t="n">
        <v>18000</v>
      </c>
    </row>
    <row r="12" ht="20" customHeight="1">
      <c r="A12" s="11" t="inlineStr">
        <is>
          <t>Business / Systems Analyst</t>
        </is>
      </c>
      <c r="B12" s="11" t="inlineStr">
        <is>
          <t>Contractor</t>
        </is>
      </c>
      <c r="C12" s="12" t="n">
        <v>85</v>
      </c>
      <c r="D12" s="12" t="n">
        <v>680</v>
      </c>
      <c r="E12" s="10" t="n">
        <v>30</v>
      </c>
      <c r="F12" s="12" t="n">
        <v>20400</v>
      </c>
    </row>
    <row r="13">
      <c r="A13" s="17" t="inlineStr">
        <is>
          <t>Total Direct Labour (Internal &amp; Contracted)</t>
        </is>
      </c>
      <c r="F13" s="18">
        <f>SUM(F6:F12)</f>
        <v/>
      </c>
    </row>
    <row r="14"/>
    <row r="15">
      <c r="A15" s="5" t="inlineStr">
        <is>
          <t>2. NON-LABOUR &amp; CAPITAL EXPENDITURE (CAPEX)</t>
        </is>
      </c>
    </row>
    <row r="16" ht="28" customHeight="1">
      <c r="A16" s="6" t="inlineStr">
        <is>
          <t>Expense Category</t>
        </is>
      </c>
      <c r="B16" s="6" t="inlineStr">
        <is>
          <t>Vendor / Provider</t>
        </is>
      </c>
      <c r="C16" s="6" t="inlineStr">
        <is>
          <t>Description</t>
        </is>
      </c>
      <c r="D16" s="6" t="inlineStr">
        <is>
          <t>Cost Basis</t>
        </is>
      </c>
      <c r="E16" s="6" t="inlineStr">
        <is>
          <t>Amount ($)</t>
        </is>
      </c>
    </row>
    <row r="17" ht="20" customHeight="1">
      <c r="A17" s="11" t="inlineStr">
        <is>
          <t>AWS Enterprise Cloud Hosting &amp; Sandbox</t>
        </is>
      </c>
      <c r="B17" s="11" t="inlineStr">
        <is>
          <t>Amazon Web Services</t>
        </is>
      </c>
      <c r="C17" s="11" t="inlineStr">
        <is>
          <t>Multi-AZ Cloud Environment, RDS PostgreSQL, Redis</t>
        </is>
      </c>
      <c r="D17" s="11" t="inlineStr">
        <is>
          <t>Fixed 6-mo Provision</t>
        </is>
      </c>
      <c r="E17" s="12" t="n">
        <v>28500</v>
      </c>
    </row>
    <row r="18" ht="20" customHeight="1">
      <c r="A18" s="11" t="inlineStr">
        <is>
          <t>SSO &amp; Identity Licences (Okta / SAML)</t>
        </is>
      </c>
      <c r="B18" s="11" t="inlineStr">
        <is>
          <t>Okta Enterprise</t>
        </is>
      </c>
      <c r="C18" s="11" t="inlineStr">
        <is>
          <t>1-Year University Identity Federation Tier</t>
        </is>
      </c>
      <c r="D18" s="11" t="inlineStr">
        <is>
          <t>Annual Enterprise</t>
        </is>
      </c>
      <c r="E18" s="12" t="n">
        <v>24000</v>
      </c>
    </row>
    <row r="19" ht="20" customHeight="1">
      <c r="A19" s="11" t="inlineStr">
        <is>
          <t>Penetration Testing &amp; Security Audit</t>
        </is>
      </c>
      <c r="B19" s="11" t="inlineStr">
        <is>
          <t>CyberSec Assurance Ltd</t>
        </is>
      </c>
      <c r="C19" s="11" t="inlineStr">
        <is>
          <t>Independent CREST-accredited penetration test</t>
        </is>
      </c>
      <c r="D19" s="11" t="inlineStr">
        <is>
          <t>Fixed Quote</t>
        </is>
      </c>
      <c r="E19" s="12" t="n">
        <v>16500</v>
      </c>
    </row>
    <row r="20" ht="20" customHeight="1">
      <c r="A20" s="11" t="inlineStr">
        <is>
          <t>UI/UX Design &amp; User Testing Lab</t>
        </is>
      </c>
      <c r="B20" s="11" t="inlineStr">
        <is>
          <t>Figma &amp; UsabilityHub</t>
        </is>
      </c>
      <c r="C20" s="11" t="inlineStr">
        <is>
          <t>Design system tooling and remote student testing credits</t>
        </is>
      </c>
      <c r="D20" s="11" t="inlineStr">
        <is>
          <t>Package</t>
        </is>
      </c>
      <c r="E20" s="12" t="n">
        <v>6200</v>
      </c>
    </row>
    <row r="21" ht="20" customHeight="1">
      <c r="A21" s="11" t="inlineStr">
        <is>
          <t>Training &amp; Change Media Production</t>
        </is>
      </c>
      <c r="B21" s="11" t="inlineStr">
        <is>
          <t>Media Studio</t>
        </is>
      </c>
      <c r="C21" s="11" t="inlineStr">
        <is>
          <t>Video production for student/staff self-help guides</t>
        </is>
      </c>
      <c r="D21" s="11" t="inlineStr">
        <is>
          <t>Production Quote</t>
        </is>
      </c>
      <c r="E21" s="12" t="n">
        <v>9500</v>
      </c>
    </row>
    <row r="22" ht="20" customHeight="1">
      <c r="A22" s="11" t="inlineStr">
        <is>
          <t>Payment Gateway Sandbox &amp; Testing Escrow</t>
        </is>
      </c>
      <c r="B22" s="11" t="inlineStr">
        <is>
          <t>Stripe / NAB Transact</t>
        </is>
      </c>
      <c r="C22" s="11" t="inlineStr">
        <is>
          <t>API Integration, Webhook Testing &amp; Compliance Escrow</t>
        </is>
      </c>
      <c r="D22" s="11" t="inlineStr">
        <is>
          <t>Setup Fee</t>
        </is>
      </c>
      <c r="E22" s="12" t="n">
        <v>5800</v>
      </c>
    </row>
    <row r="23">
      <c r="A23" s="17" t="inlineStr">
        <is>
          <t>Total Non-Labour &amp; Capex</t>
        </is>
      </c>
      <c r="E23" s="18">
        <f>SUM(E17:E22)</f>
        <v/>
      </c>
    </row>
    <row r="24"/>
    <row r="25">
      <c r="A25" s="5" t="inlineStr">
        <is>
          <t>3. COMPREHENSIVE BUDGET SUMMARY &amp; CONTINGENCY ALLOCATION</t>
        </is>
      </c>
    </row>
    <row r="26" ht="22" customHeight="1">
      <c r="A26" s="19" t="inlineStr">
        <is>
          <t>Base Project Labour (Direct)</t>
        </is>
      </c>
      <c r="B26" s="12">
        <f>F13</f>
        <v/>
      </c>
    </row>
    <row r="27" ht="22" customHeight="1">
      <c r="A27" s="19" t="inlineStr">
        <is>
          <t>Base Capital &amp; Non-Labour Costs</t>
        </is>
      </c>
      <c r="B27" s="12">
        <f>E23</f>
        <v/>
      </c>
    </row>
    <row r="28" ht="22" customHeight="1">
      <c r="A28" s="20" t="inlineStr">
        <is>
          <t>SUBTOTAL BASELINE COST (BAC)</t>
        </is>
      </c>
      <c r="B28" s="21">
        <f>B26+B27</f>
        <v/>
      </c>
    </row>
    <row r="29" ht="22" customHeight="1">
      <c r="A29" s="19" t="inlineStr">
        <is>
          <t>Contingency Reserve (10% of BAC for Known-Unknown Technical Risks)</t>
        </is>
      </c>
      <c r="B29" s="12">
        <f>B28*0.10</f>
        <v/>
      </c>
    </row>
    <row r="30" ht="22" customHeight="1">
      <c r="A30" s="20" t="inlineStr">
        <is>
          <t>TOTAL COST BASELINE (BAC + Contingency)</t>
        </is>
      </c>
      <c r="B30" s="21">
        <f>B28+B29</f>
        <v/>
      </c>
    </row>
    <row r="31" ht="22" customHeight="1">
      <c r="A31" s="19" t="inlineStr">
        <is>
          <t>Management Reserve (5% for Unforeseen Strategic Scope Changes)</t>
        </is>
      </c>
      <c r="B31" s="12">
        <f>B28*0.05</f>
        <v/>
      </c>
    </row>
    <row r="32" ht="22" customHeight="1">
      <c r="A32" s="20" t="inlineStr">
        <is>
          <t>TOTAL PROJECT BUDGET (Approved Project Ceiling)</t>
        </is>
      </c>
      <c r="B32" s="21">
        <f>B30+B31</f>
        <v/>
      </c>
    </row>
    <row r="33" ht="22" customHeight="1">
      <c r="A33" s="22" t="inlineStr">
        <is>
          <t>APPROVED INSTITUTIONAL BUDGET CAP</t>
        </is>
      </c>
      <c r="B33" s="23" t="n">
        <v>450000</v>
      </c>
    </row>
    <row r="34" ht="22" customHeight="1">
      <c r="A34" s="22" t="inlineStr">
        <is>
          <t>BUDGET HEADROOM / BUFFER</t>
        </is>
      </c>
      <c r="B34" s="23">
        <f>B33-B32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22" customWidth="1" min="4" max="4"/>
    <col width="23" customWidth="1" min="5" max="5"/>
    <col width="20" customWidth="1" min="6" max="6"/>
    <col width="14" customWidth="1" min="7" max="7"/>
    <col width="18" customWidth="1" min="8" max="8"/>
    <col width="14" customWidth="1" min="9" max="9"/>
    <col width="45" customWidth="1" min="10" max="10"/>
  </cols>
  <sheetData>
    <row r="1">
      <c r="A1" s="1" t="inlineStr">
        <is>
          <t>PROJECT OMNIPORTAL — RISK REGISTER &amp; 5x5 ASSESSMENT</t>
        </is>
      </c>
    </row>
    <row r="2">
      <c r="A2" s="2" t="inlineStr">
        <is>
          <t>5x5 Scoring: Likelihood (1-5) x Impact (1-5) | Extreme (15-25), High (10-14), Medium (5-9), Low (1-4)</t>
        </is>
      </c>
    </row>
    <row r="3"/>
    <row r="4" ht="28" customHeight="1">
      <c r="A4" s="6" t="inlineStr">
        <is>
          <t>Risk ID</t>
        </is>
      </c>
      <c r="B4" s="6" t="inlineStr">
        <is>
          <t>Risk Description</t>
        </is>
      </c>
      <c r="C4" s="6" t="inlineStr">
        <is>
          <t>Category</t>
        </is>
      </c>
      <c r="D4" s="6" t="inlineStr">
        <is>
          <t>Likelihood (L)</t>
        </is>
      </c>
      <c r="E4" s="6" t="inlineStr">
        <is>
          <t>Impact (I)</t>
        </is>
      </c>
      <c r="F4" s="6" t="inlineStr">
        <is>
          <t>Score (L x I)</t>
        </is>
      </c>
      <c r="G4" s="6" t="inlineStr">
        <is>
          <t>Priority</t>
        </is>
      </c>
      <c r="H4" s="6" t="inlineStr">
        <is>
          <t>Owner</t>
        </is>
      </c>
      <c r="I4" s="6" t="inlineStr">
        <is>
          <t>Strategy</t>
        </is>
      </c>
      <c r="J4" s="6" t="inlineStr">
        <is>
          <t>Mitigation Action &amp; Contingency Plan</t>
        </is>
      </c>
    </row>
    <row r="5" ht="28" customHeight="1">
      <c r="A5" s="10" t="inlineStr">
        <is>
          <t>R01</t>
        </is>
      </c>
      <c r="B5" s="24" t="inlineStr">
        <is>
          <t>Legacy Student Records Database schema mismatch and data corruption during automated ETL execution.</t>
        </is>
      </c>
      <c r="C5" s="10" t="inlineStr">
        <is>
          <t>Technical</t>
        </is>
      </c>
      <c r="D5" s="10" t="n">
        <v>4</v>
      </c>
      <c r="E5" s="10" t="n">
        <v>5</v>
      </c>
      <c r="F5" s="25">
        <f>D5*E5</f>
        <v/>
      </c>
      <c r="G5" s="13" t="inlineStr">
        <is>
          <t>Extreme</t>
        </is>
      </c>
      <c r="H5" s="10" t="inlineStr">
        <is>
          <t>Momen Ahmed</t>
        </is>
      </c>
      <c r="I5" s="10" t="inlineStr">
        <is>
          <t>Mitigate</t>
        </is>
      </c>
      <c r="J5" s="24" t="inlineStr">
        <is>
          <t>Perform dry-run ETL in sandbox with 10% sampling; build automated schema validation scripts with rollback checkpoints.</t>
        </is>
      </c>
    </row>
    <row r="6" ht="28" customHeight="1">
      <c r="A6" s="10" t="inlineStr">
        <is>
          <t>R02</t>
        </is>
      </c>
      <c r="B6" s="24" t="inlineStr">
        <is>
          <t>Cloud infrastructure latency or outage during Semester 1 peak enrolment traffic surge (&gt;10k concurrent).</t>
        </is>
      </c>
      <c r="C6" s="10" t="inlineStr">
        <is>
          <t>Operational</t>
        </is>
      </c>
      <c r="D6" s="10" t="n">
        <v>3</v>
      </c>
      <c r="E6" s="10" t="n">
        <v>5</v>
      </c>
      <c r="F6" s="25">
        <f>D6*E6</f>
        <v/>
      </c>
      <c r="G6" s="13" t="inlineStr">
        <is>
          <t>Extreme</t>
        </is>
      </c>
      <c r="H6" s="10" t="inlineStr">
        <is>
          <t>Tanvir Ahmed</t>
        </is>
      </c>
      <c r="I6" s="10" t="inlineStr">
        <is>
          <t>Mitigate</t>
        </is>
      </c>
      <c r="J6" s="24" t="inlineStr">
        <is>
          <t>Configure AWS Auto-Scaling and Redis caching; conduct load/stress testing at 250% capacity (15k concurrent) prior to cutover.</t>
        </is>
      </c>
    </row>
    <row r="7" ht="28" customHeight="1">
      <c r="A7" s="10" t="inlineStr">
        <is>
          <t>R03</t>
        </is>
      </c>
      <c r="B7" s="24" t="inlineStr">
        <is>
          <t>Faculty and administrative staff resistance to adopting new unified marks entry and advising portal.</t>
        </is>
      </c>
      <c r="C7" s="10" t="inlineStr">
        <is>
          <t>Organizational</t>
        </is>
      </c>
      <c r="D7" s="10" t="n">
        <v>4</v>
      </c>
      <c r="E7" s="10" t="n">
        <v>3</v>
      </c>
      <c r="F7" s="25">
        <f>D7*E7</f>
        <v/>
      </c>
      <c r="G7" s="26" t="inlineStr">
        <is>
          <t>High</t>
        </is>
      </c>
      <c r="H7" s="10" t="inlineStr">
        <is>
          <t>MD Rejvi Jaman</t>
        </is>
      </c>
      <c r="I7" s="10" t="inlineStr">
        <is>
          <t>Mitigate</t>
        </is>
      </c>
      <c r="J7" s="24" t="inlineStr">
        <is>
          <t>Appoint 12 departmental 'Change Champions'; provide targeted 30-minute drop-in clinics and video micro-guides.</t>
        </is>
      </c>
    </row>
    <row r="8" ht="28" customHeight="1">
      <c r="A8" s="10" t="inlineStr">
        <is>
          <t>R04</t>
        </is>
      </c>
      <c r="B8" s="24" t="inlineStr">
        <is>
          <t>Data breach or student Personally Identifiable Information (PII) leak violating Australian Privacy Principles.</t>
        </is>
      </c>
      <c r="C8" s="10" t="inlineStr">
        <is>
          <t>Compliance</t>
        </is>
      </c>
      <c r="D8" s="10" t="n">
        <v>2</v>
      </c>
      <c r="E8" s="10" t="n">
        <v>5</v>
      </c>
      <c r="F8" s="25">
        <f>D8*E8</f>
        <v/>
      </c>
      <c r="G8" s="26" t="inlineStr">
        <is>
          <t>High</t>
        </is>
      </c>
      <c r="H8" s="10" t="inlineStr">
        <is>
          <t>Tanvir Ahmed</t>
        </is>
      </c>
      <c r="I8" s="10" t="inlineStr">
        <is>
          <t>Mitigate</t>
        </is>
      </c>
      <c r="J8" s="24" t="inlineStr">
        <is>
          <t>Implement AES-256 at-rest and TLS 1.3 in-transit encryption; conduct CREST-certified independent penetration testing.</t>
        </is>
      </c>
    </row>
    <row r="9" ht="28" customHeight="1">
      <c r="A9" s="10" t="inlineStr">
        <is>
          <t>R05</t>
        </is>
      </c>
      <c r="B9" s="24" t="inlineStr">
        <is>
          <t>Scope creep driven by conflicting customization demands across faculties (Business vs Health Science).</t>
        </is>
      </c>
      <c r="C9" s="10" t="inlineStr">
        <is>
          <t>Scope</t>
        </is>
      </c>
      <c r="D9" s="10" t="n">
        <v>4</v>
      </c>
      <c r="E9" s="10" t="n">
        <v>3</v>
      </c>
      <c r="F9" s="25">
        <f>D9*E9</f>
        <v/>
      </c>
      <c r="G9" s="26" t="inlineStr">
        <is>
          <t>High</t>
        </is>
      </c>
      <c r="H9" s="10" t="inlineStr">
        <is>
          <t>Tanvir Ahmed</t>
        </is>
      </c>
      <c r="I9" s="10" t="inlineStr">
        <is>
          <t>Mitigate</t>
        </is>
      </c>
      <c r="J9" s="24" t="inlineStr">
        <is>
          <t>Enforce strict Change Control Board (CCB) protocol; freeze non-critical functional enhancements for Phase 2 post-launch.</t>
        </is>
      </c>
    </row>
    <row r="10" ht="28" customHeight="1">
      <c r="A10" s="10" t="inlineStr">
        <is>
          <t>R06</t>
        </is>
      </c>
      <c r="B10" s="24" t="inlineStr">
        <is>
          <t>Resignation or illness of Lead Database &amp; Migration Specialist during critical cutover window.</t>
        </is>
      </c>
      <c r="C10" s="10" t="inlineStr">
        <is>
          <t>Resource</t>
        </is>
      </c>
      <c r="D10" s="10" t="n">
        <v>2</v>
      </c>
      <c r="E10" s="10" t="n">
        <v>4</v>
      </c>
      <c r="F10" s="25">
        <f>D10*E10</f>
        <v/>
      </c>
      <c r="G10" s="27" t="inlineStr">
        <is>
          <t>Medium</t>
        </is>
      </c>
      <c r="H10" s="10" t="inlineStr">
        <is>
          <t>Momen Ahmed</t>
        </is>
      </c>
      <c r="I10" s="10" t="inlineStr">
        <is>
          <t>Mitigate</t>
        </is>
      </c>
      <c r="J10" s="24" t="inlineStr">
        <is>
          <t>Mandate comprehensive technical documentation in Confluence; cross-train Senior Backend Developer as secondary lead.</t>
        </is>
      </c>
    </row>
    <row r="11" ht="28" customHeight="1">
      <c r="A11" s="10" t="inlineStr">
        <is>
          <t>R07</t>
        </is>
      </c>
      <c r="B11" s="24" t="inlineStr">
        <is>
          <t>SSO authentication failure or latency spike connecting to on-premise Active Directory.</t>
        </is>
      </c>
      <c r="C11" s="10" t="inlineStr">
        <is>
          <t>Technical</t>
        </is>
      </c>
      <c r="D11" s="10" t="n">
        <v>3</v>
      </c>
      <c r="E11" s="10" t="n">
        <v>3</v>
      </c>
      <c r="F11" s="25">
        <f>D11*E11</f>
        <v/>
      </c>
      <c r="G11" s="27" t="inlineStr">
        <is>
          <t>Medium</t>
        </is>
      </c>
      <c r="H11" s="10" t="inlineStr">
        <is>
          <t>Tanvir Ahmed</t>
        </is>
      </c>
      <c r="I11" s="10" t="inlineStr">
        <is>
          <t>Mitigate</t>
        </is>
      </c>
      <c r="J11" s="24" t="inlineStr">
        <is>
          <t>Deploy cloud-replicated Azure AD / Okta connectors with fallback token cache to decouple from on-premise network latency.</t>
        </is>
      </c>
    </row>
    <row r="12" ht="28" customHeight="1">
      <c r="A12" s="10" t="inlineStr">
        <is>
          <t>R08</t>
        </is>
      </c>
      <c r="B12" s="24" t="inlineStr">
        <is>
          <t>Mobile UI rendering defects on legacy browser versions (older iOS/Android student handsets).</t>
        </is>
      </c>
      <c r="C12" s="10" t="inlineStr">
        <is>
          <t>Technical</t>
        </is>
      </c>
      <c r="D12" s="10" t="n">
        <v>3</v>
      </c>
      <c r="E12" s="10" t="n">
        <v>2</v>
      </c>
      <c r="F12" s="25">
        <f>D12*E12</f>
        <v/>
      </c>
      <c r="G12" s="27" t="inlineStr">
        <is>
          <t>Medium</t>
        </is>
      </c>
      <c r="H12" s="10" t="inlineStr">
        <is>
          <t>MD Rejvi Jaman</t>
        </is>
      </c>
      <c r="I12" s="10" t="inlineStr">
        <is>
          <t>Mitigate</t>
        </is>
      </c>
      <c r="J12" s="24" t="inlineStr">
        <is>
          <t>Use BrowserStack automated testing suite targeting 98% of student device demographic; set minimum OS support baseline.</t>
        </is>
      </c>
    </row>
    <row r="13" ht="28" customHeight="1">
      <c r="A13" s="10" t="inlineStr">
        <is>
          <t>R09</t>
        </is>
      </c>
      <c r="B13" s="24" t="inlineStr">
        <is>
          <t>Third-party payment gateway API rate limiting or timeout during tuition fee due dates.</t>
        </is>
      </c>
      <c r="C13" s="10" t="inlineStr">
        <is>
          <t>External</t>
        </is>
      </c>
      <c r="D13" s="10" t="n">
        <v>2</v>
      </c>
      <c r="E13" s="10" t="n">
        <v>4</v>
      </c>
      <c r="F13" s="25">
        <f>D13*E13</f>
        <v/>
      </c>
      <c r="G13" s="27" t="inlineStr">
        <is>
          <t>Medium</t>
        </is>
      </c>
      <c r="H13" s="10" t="inlineStr">
        <is>
          <t>Momen Ahmed</t>
        </is>
      </c>
      <c r="I13" s="10" t="inlineStr">
        <is>
          <t>Mitigate</t>
        </is>
      </c>
      <c r="J13" s="24" t="inlineStr">
        <is>
          <t>Establish asynchronous queueing (RabbitMQ) with exponential retry logic; negotiate enterprise burst rate with gateway vendor.</t>
        </is>
      </c>
    </row>
    <row r="14" ht="28" customHeight="1">
      <c r="A14" s="10" t="inlineStr">
        <is>
          <t>R10</t>
        </is>
      </c>
      <c r="B14" s="24" t="inlineStr">
        <is>
          <t>Tier-1 student helpdesk overwhelmed with password reset and multi-factor authentication (MFA) requests.</t>
        </is>
      </c>
      <c r="C14" s="10" t="inlineStr">
        <is>
          <t>Operational</t>
        </is>
      </c>
      <c r="D14" s="10" t="n">
        <v>4</v>
      </c>
      <c r="E14" s="10" t="n">
        <v>2</v>
      </c>
      <c r="F14" s="25">
        <f>D14*E14</f>
        <v/>
      </c>
      <c r="G14" s="27" t="inlineStr">
        <is>
          <t>Medium</t>
        </is>
      </c>
      <c r="H14" s="10" t="inlineStr">
        <is>
          <t>MD Rejvi Jaman</t>
        </is>
      </c>
      <c r="I14" s="10" t="inlineStr">
        <is>
          <t>Mitigate</t>
        </is>
      </c>
      <c r="J14" s="24" t="inlineStr">
        <is>
          <t>Implement automated self-service password reset (SSPR) workflow and deploy interactive FAQ chatbot on portal landing page.</t>
        </is>
      </c>
    </row>
    <row r="15"/>
    <row r="16"/>
    <row r="17">
      <c r="A17" s="5" t="inlineStr">
        <is>
          <t>5x5 RISK HEAT MAP MATRIX (Likelihood vs Impact)</t>
        </is>
      </c>
    </row>
    <row r="18">
      <c r="A18" s="2" t="inlineStr">
        <is>
          <t>Numbers in cells represent active project risks mapped to that severity coordinate.</t>
        </is>
      </c>
    </row>
    <row r="19"/>
    <row r="20" ht="24" customHeight="1">
      <c r="A20" s="28" t="inlineStr">
        <is>
          <t>Likelihood \ Impact</t>
        </is>
      </c>
      <c r="B20" s="28" t="inlineStr">
        <is>
          <t>1 - Insignificant</t>
        </is>
      </c>
      <c r="C20" s="28" t="inlineStr">
        <is>
          <t>2 - Minor</t>
        </is>
      </c>
      <c r="D20" s="28" t="inlineStr">
        <is>
          <t>3 - Moderate</t>
        </is>
      </c>
      <c r="E20" s="28" t="inlineStr">
        <is>
          <t>4 - Major</t>
        </is>
      </c>
      <c r="F20" s="28" t="inlineStr">
        <is>
          <t>5 - Severe</t>
        </is>
      </c>
    </row>
    <row r="21" ht="32" customHeight="1">
      <c r="A21" s="7" t="inlineStr">
        <is>
          <t>5 - Almost Certain</t>
        </is>
      </c>
      <c r="B21" s="29" t="inlineStr">
        <is>
          <t>Low (5)</t>
        </is>
      </c>
      <c r="C21" s="30" t="inlineStr">
        <is>
          <t>Medium (10)</t>
        </is>
      </c>
      <c r="D21" s="31" t="inlineStr">
        <is>
          <t>High (15)</t>
        </is>
      </c>
      <c r="E21" s="32" t="inlineStr">
        <is>
          <t>Extreme (20)</t>
        </is>
      </c>
      <c r="F21" s="32" t="inlineStr">
        <is>
          <t>Extreme (25)</t>
        </is>
      </c>
    </row>
    <row r="22" ht="32" customHeight="1">
      <c r="A22" s="7" t="inlineStr">
        <is>
          <t>4 - Likely</t>
        </is>
      </c>
      <c r="B22" s="33" t="inlineStr">
        <is>
          <t>Low (4)</t>
        </is>
      </c>
      <c r="C22" s="29" t="inlineStr">
        <is>
          <t>Medium (8): R10</t>
        </is>
      </c>
      <c r="D22" s="34" t="inlineStr">
        <is>
          <t>High (12): R03, R05</t>
        </is>
      </c>
      <c r="E22" s="31" t="inlineStr">
        <is>
          <t>High (16)</t>
        </is>
      </c>
      <c r="F22" s="32" t="inlineStr">
        <is>
          <t>Extreme (20): R01</t>
        </is>
      </c>
    </row>
    <row r="23" ht="32" customHeight="1">
      <c r="A23" s="7" t="inlineStr">
        <is>
          <t>3 - Possible</t>
        </is>
      </c>
      <c r="B23" s="33" t="inlineStr">
        <is>
          <t>Low (3)</t>
        </is>
      </c>
      <c r="C23" s="29" t="inlineStr">
        <is>
          <t>Medium (6): R08</t>
        </is>
      </c>
      <c r="D23" s="29" t="inlineStr">
        <is>
          <t>Medium (9): R07</t>
        </is>
      </c>
      <c r="E23" s="34" t="inlineStr">
        <is>
          <t>High (12)</t>
        </is>
      </c>
      <c r="F23" s="32" t="inlineStr">
        <is>
          <t>Extreme (15): R02</t>
        </is>
      </c>
    </row>
    <row r="24" ht="32" customHeight="1">
      <c r="A24" s="7" t="inlineStr">
        <is>
          <t>2 - Unlikely</t>
        </is>
      </c>
      <c r="B24" s="33" t="inlineStr">
        <is>
          <t>Low (2)</t>
        </is>
      </c>
      <c r="C24" s="33" t="inlineStr">
        <is>
          <t>Low (4)</t>
        </is>
      </c>
      <c r="D24" s="29" t="inlineStr">
        <is>
          <t>Medium (6)</t>
        </is>
      </c>
      <c r="E24" s="29" t="inlineStr">
        <is>
          <t>Medium (8): R06, R09</t>
        </is>
      </c>
      <c r="F24" s="34" t="inlineStr">
        <is>
          <t>High (10): R04</t>
        </is>
      </c>
    </row>
    <row r="25" ht="32" customHeight="1">
      <c r="A25" s="7" t="inlineStr">
        <is>
          <t>1 - Rare</t>
        </is>
      </c>
      <c r="B25" s="33" t="inlineStr">
        <is>
          <t>Low (1)</t>
        </is>
      </c>
      <c r="C25" s="33" t="inlineStr">
        <is>
          <t>Low (2)</t>
        </is>
      </c>
      <c r="D25" s="33" t="inlineStr">
        <is>
          <t>Low (3)</t>
        </is>
      </c>
      <c r="E25" s="29" t="inlineStr">
        <is>
          <t>Medium (4)</t>
        </is>
      </c>
      <c r="F25" s="29" t="inlineStr">
        <is>
          <t>Medium (5)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8" customWidth="1" min="4" max="4"/>
    <col width="25" customWidth="1" min="5" max="5"/>
    <col width="18" customWidth="1" min="6" max="6"/>
    <col width="34" customWidth="1" min="7" max="7"/>
    <col width="28" customWidth="1" min="8" max="8"/>
    <col width="36" customWidth="1" min="9" max="9"/>
  </cols>
  <sheetData>
    <row r="1">
      <c r="A1" s="1" t="inlineStr">
        <is>
          <t>PROJECT OMNIPORTAL — STAKEHOLDER REGISTER &amp; POWER-INTEREST ANALYSIS</t>
        </is>
      </c>
    </row>
    <row r="2">
      <c r="A2" s="2" t="inlineStr">
        <is>
          <t>Classification Grid: Manage Closely (H/H), Keep Satisfied (H/L), Keep Informed (L/H), Monitor (L/L)</t>
        </is>
      </c>
    </row>
    <row r="3"/>
    <row r="4" ht="28" customHeight="1">
      <c r="A4" s="6" t="inlineStr">
        <is>
          <t>Stakeholder ID</t>
        </is>
      </c>
      <c r="B4" s="6" t="inlineStr">
        <is>
          <t>Stakeholder Group / Name</t>
        </is>
      </c>
      <c r="C4" s="6" t="inlineStr">
        <is>
          <t>Internal / External</t>
        </is>
      </c>
      <c r="D4" s="6" t="inlineStr">
        <is>
          <t>Power (Influence)</t>
        </is>
      </c>
      <c r="E4" s="6" t="inlineStr">
        <is>
          <t>Interest</t>
        </is>
      </c>
      <c r="F4" s="6" t="inlineStr">
        <is>
          <t>Power-Interest Quadrant</t>
        </is>
      </c>
      <c r="G4" s="6" t="inlineStr">
        <is>
          <t>Core Expectations &amp; Win Conditions</t>
        </is>
      </c>
      <c r="H4" s="6" t="inlineStr">
        <is>
          <t>Potential Risks to Project</t>
        </is>
      </c>
      <c r="I4" s="6" t="inlineStr">
        <is>
          <t>Engagement &amp; Communication Strategy</t>
        </is>
      </c>
    </row>
    <row r="5" ht="28" customHeight="1">
      <c r="A5" s="10" t="inlineStr">
        <is>
          <t>SH01</t>
        </is>
      </c>
      <c r="B5" s="24" t="inlineStr">
        <is>
          <t>Chief Information Officer (CIO) / Project Sponsor</t>
        </is>
      </c>
      <c r="C5" s="10" t="inlineStr">
        <is>
          <t>Internal</t>
        </is>
      </c>
      <c r="D5" s="10" t="inlineStr">
        <is>
          <t>High</t>
        </is>
      </c>
      <c r="E5" s="10" t="inlineStr">
        <is>
          <t>High</t>
        </is>
      </c>
      <c r="F5" s="13" t="inlineStr">
        <is>
          <t>Manage Closely</t>
        </is>
      </c>
      <c r="G5" s="24" t="inlineStr">
        <is>
          <t>Strategic digital alignment, delivery within $450k budget, zero security incidents.</t>
        </is>
      </c>
      <c r="H5" s="24" t="inlineStr">
        <is>
          <t>Withholding project tranche funding if milestones breach SLAs.</t>
        </is>
      </c>
      <c r="I5" s="24" t="inlineStr">
        <is>
          <t>Weekly 1-on-1 executive status briefing; immediate escalation of critical variances.</t>
        </is>
      </c>
    </row>
    <row r="6" ht="28" customHeight="1">
      <c r="A6" s="10" t="inlineStr">
        <is>
          <t>SH02</t>
        </is>
      </c>
      <c r="B6" s="24" t="inlineStr">
        <is>
          <t>University Registrar &amp; Enrolment Operations</t>
        </is>
      </c>
      <c r="C6" s="10" t="inlineStr">
        <is>
          <t>Internal</t>
        </is>
      </c>
      <c r="D6" s="10" t="inlineStr">
        <is>
          <t>High</t>
        </is>
      </c>
      <c r="E6" s="10" t="inlineStr">
        <is>
          <t>High</t>
        </is>
      </c>
      <c r="F6" s="13" t="inlineStr">
        <is>
          <t>Manage Closely</t>
        </is>
      </c>
      <c r="G6" s="24" t="inlineStr">
        <is>
          <t>Flawless student enrolment lifecycle, zero missing academic records, error-free timetabling.</t>
        </is>
      </c>
      <c r="H6" s="24" t="inlineStr">
        <is>
          <t>Operational veto of cutover if data integrity cannot be verified.</t>
        </is>
      </c>
      <c r="I6" s="24" t="inlineStr">
        <is>
          <t>Bi-weekly operational steering meetings, co-design of data validation criteria, sign-off on UAT.</t>
        </is>
      </c>
    </row>
    <row r="7" ht="28" customHeight="1">
      <c r="A7" s="10" t="inlineStr">
        <is>
          <t>SH03</t>
        </is>
      </c>
      <c r="B7" s="24" t="inlineStr">
        <is>
          <t>Academic Senate &amp; Faculty Deans</t>
        </is>
      </c>
      <c r="C7" s="10" t="inlineStr">
        <is>
          <t>Internal</t>
        </is>
      </c>
      <c r="D7" s="10" t="inlineStr">
        <is>
          <t>High</t>
        </is>
      </c>
      <c r="E7" s="10" t="inlineStr">
        <is>
          <t>Low</t>
        </is>
      </c>
      <c r="F7" s="27" t="inlineStr">
        <is>
          <t>Keep Satisfied</t>
        </is>
      </c>
      <c r="G7" s="24" t="inlineStr">
        <is>
          <t>No disruption to semester teaching; intuitive grade-submission interface.</t>
        </is>
      </c>
      <c r="H7" s="24" t="inlineStr">
        <is>
          <t>Public academic pushback or boycotts if changes degrade workflow.</t>
        </is>
      </c>
      <c r="I7" s="24" t="inlineStr">
        <is>
          <t>Monthly high-level progress digests; early faculty demo sessions during Faculty Board meetings.</t>
        </is>
      </c>
    </row>
    <row r="8" ht="28" customHeight="1">
      <c r="A8" s="10" t="inlineStr">
        <is>
          <t>SH04</t>
        </is>
      </c>
      <c r="B8" s="24" t="inlineStr">
        <is>
          <t>Student Representative Council (SRC) &amp; Student Body</t>
        </is>
      </c>
      <c r="C8" s="10" t="inlineStr">
        <is>
          <t>Internal</t>
        </is>
      </c>
      <c r="D8" s="10" t="inlineStr">
        <is>
          <t>Low</t>
        </is>
      </c>
      <c r="E8" s="10" t="inlineStr">
        <is>
          <t>High</t>
        </is>
      </c>
      <c r="F8" s="35" t="inlineStr">
        <is>
          <t>Keep Informed</t>
        </is>
      </c>
      <c r="G8" s="24" t="inlineStr">
        <is>
          <t>Modern, responsive mobile interface, fast course cart checkout, clear fee payment receipts.</t>
        </is>
      </c>
      <c r="H8" s="24" t="inlineStr">
        <is>
          <t>Social media outcry and high resistance if platform is difficult to navigate.</t>
        </is>
      </c>
      <c r="I8" s="24" t="inlineStr">
        <is>
          <t>Bi-weekly student email updates, beta testing focus groups (50 students), interactive FAQ video drops.</t>
        </is>
      </c>
    </row>
    <row r="9" ht="28" customHeight="1">
      <c r="A9" s="10" t="inlineStr">
        <is>
          <t>SH05</t>
        </is>
      </c>
      <c r="B9" s="24" t="inlineStr">
        <is>
          <t>Central IT Infrastructure &amp; Cybersecurity Office</t>
        </is>
      </c>
      <c r="C9" s="10" t="inlineStr">
        <is>
          <t>Internal</t>
        </is>
      </c>
      <c r="D9" s="10" t="inlineStr">
        <is>
          <t>High</t>
        </is>
      </c>
      <c r="E9" s="10" t="inlineStr">
        <is>
          <t>High</t>
        </is>
      </c>
      <c r="F9" s="13" t="inlineStr">
        <is>
          <t>Manage Closely</t>
        </is>
      </c>
      <c r="G9" s="24" t="inlineStr">
        <is>
          <t>100% compliance with ISO 27001, seamless SSO integration, robust API security controls.</t>
        </is>
      </c>
      <c r="H9" s="24" t="inlineStr">
        <is>
          <t>Security freeze on production deployment if pentest uncovers high vulnerabilities.</t>
        </is>
      </c>
      <c r="I9" s="24" t="inlineStr">
        <is>
          <t>Joint weekly architectural reviews, security sign-off at each sprint boundary, audit log inspection.</t>
        </is>
      </c>
    </row>
    <row r="10" ht="28" customHeight="1">
      <c r="A10" s="10" t="inlineStr">
        <is>
          <t>SH06</t>
        </is>
      </c>
      <c r="B10" s="24" t="inlineStr">
        <is>
          <t>University Finance &amp; Accounts Department</t>
        </is>
      </c>
      <c r="C10" s="10" t="inlineStr">
        <is>
          <t>Internal</t>
        </is>
      </c>
      <c r="D10" s="10" t="inlineStr">
        <is>
          <t>Medium</t>
        </is>
      </c>
      <c r="E10" s="10" t="inlineStr">
        <is>
          <t>Low</t>
        </is>
      </c>
      <c r="F10" s="27" t="inlineStr">
        <is>
          <t>Keep Satisfied</t>
        </is>
      </c>
      <c r="G10" s="24" t="inlineStr">
        <is>
          <t>Automated reconciliation of tuition payments, compliance with PCI-DSS payment rules.</t>
        </is>
      </c>
      <c r="H10" s="24" t="inlineStr">
        <is>
          <t>Reconciliation discrepancies delaying audit closure.</t>
        </is>
      </c>
      <c r="I10" s="24" t="inlineStr">
        <is>
          <t>Monthly finance checkpoint, automated daily batch reconciliation reports during sandbox testing.</t>
        </is>
      </c>
    </row>
    <row r="11" ht="28" customHeight="1">
      <c r="A11" s="10" t="inlineStr">
        <is>
          <t>SH07</t>
        </is>
      </c>
      <c r="B11" s="24" t="inlineStr">
        <is>
          <t>Student Central Support &amp; Helpdesk Staff</t>
        </is>
      </c>
      <c r="C11" s="10" t="inlineStr">
        <is>
          <t>Internal</t>
        </is>
      </c>
      <c r="D11" s="10" t="inlineStr">
        <is>
          <t>Low</t>
        </is>
      </c>
      <c r="E11" s="10" t="inlineStr">
        <is>
          <t>High</t>
        </is>
      </c>
      <c r="F11" s="35" t="inlineStr">
        <is>
          <t>Keep Informed</t>
        </is>
      </c>
      <c r="G11" s="24" t="inlineStr">
        <is>
          <t>Reduced repetitive support calls, intuitive admin troubleshooting dashboard, clear knowledge base.</t>
        </is>
      </c>
      <c r="H11" s="24" t="inlineStr">
        <is>
          <t>Staff panic and escalated wait times if training is inadequate.</t>
        </is>
      </c>
      <c r="I11" s="24" t="inlineStr">
        <is>
          <t>Hands-on training clinics 3 weeks before launch; dedicated 'Hypercare' chat bridge during cutover.</t>
        </is>
      </c>
    </row>
    <row r="12" ht="28" customHeight="1">
      <c r="A12" s="10" t="inlineStr">
        <is>
          <t>SH08</t>
        </is>
      </c>
      <c r="B12" s="24" t="inlineStr">
        <is>
          <t>TEQSA &amp; National Privacy Commissioner</t>
        </is>
      </c>
      <c r="C12" s="10" t="inlineStr">
        <is>
          <t>External</t>
        </is>
      </c>
      <c r="D12" s="10" t="inlineStr">
        <is>
          <t>High</t>
        </is>
      </c>
      <c r="E12" s="10" t="inlineStr">
        <is>
          <t>Low</t>
        </is>
      </c>
      <c r="F12" s="27" t="inlineStr">
        <is>
          <t>Keep Satisfied</t>
        </is>
      </c>
      <c r="G12" s="24" t="inlineStr">
        <is>
          <t>Strict compliance with Higher Education Standards and Australian Privacy Principles.</t>
        </is>
      </c>
      <c r="H12" s="24" t="inlineStr">
        <is>
          <t>Regulatory audits and penalties for data privacy infringements.</t>
        </is>
      </c>
      <c r="I12" s="24" t="inlineStr">
        <is>
          <t>Maintain rigorous data protection impact assessments (DPIA) and audit trails for compliance verification.</t>
        </is>
      </c>
    </row>
    <row r="13"/>
    <row r="14"/>
    <row r="15">
      <c r="A15" s="5" t="inlineStr">
        <is>
          <t>PROJECT COMMUNICATION MATRIX</t>
        </is>
      </c>
    </row>
    <row r="16" ht="28" customHeight="1">
      <c r="A16" s="6" t="inlineStr">
        <is>
          <t>Stakeholder Group</t>
        </is>
      </c>
      <c r="B16" s="6" t="inlineStr">
        <is>
          <t>Information Artefact</t>
        </is>
      </c>
      <c r="C16" s="6" t="inlineStr">
        <is>
          <t>Objective / Purpose</t>
        </is>
      </c>
      <c r="D16" s="6" t="inlineStr">
        <is>
          <t>Delivery Format / Channel</t>
        </is>
      </c>
      <c r="E16" s="6" t="inlineStr">
        <is>
          <t>Frequency</t>
        </is>
      </c>
      <c r="F16" s="6" t="inlineStr">
        <is>
          <t>Sender / Owner</t>
        </is>
      </c>
    </row>
    <row r="17" ht="24" customHeight="1">
      <c r="A17" s="24" t="inlineStr">
        <is>
          <t>Project Sponsor (CIO)</t>
        </is>
      </c>
      <c r="B17" s="24" t="inlineStr">
        <is>
          <t>Executive Dashboard &amp; Variance Report</t>
        </is>
      </c>
      <c r="C17" s="24" t="inlineStr">
        <is>
          <t>Strategic oversight, EVM metrics (SPI/CPI), decision sign-offs</t>
        </is>
      </c>
      <c r="D17" s="24" t="inlineStr">
        <is>
          <t>In-person briefing + PDF Summary</t>
        </is>
      </c>
      <c r="E17" s="10" t="inlineStr">
        <is>
          <t>Weekly</t>
        </is>
      </c>
      <c r="F17" s="10" t="inlineStr">
        <is>
          <t>Tanvir Ahmed (PM)</t>
        </is>
      </c>
    </row>
    <row r="18" ht="24" customHeight="1">
      <c r="A18" s="24" t="inlineStr">
        <is>
          <t>Steering Committee (Registrar, IT, Finance)</t>
        </is>
      </c>
      <c r="B18" s="24" t="inlineStr">
        <is>
          <t>Project Steering Progress Pack</t>
        </is>
      </c>
      <c r="C18" s="24" t="inlineStr">
        <is>
          <t>Review milestone achievements, approve change requests, clear blockers</t>
        </is>
      </c>
      <c r="D18" s="24" t="inlineStr">
        <is>
          <t>Formal Committee Meeting &amp; Minutes</t>
        </is>
      </c>
      <c r="E18" s="10" t="inlineStr">
        <is>
          <t>Fortnightly</t>
        </is>
      </c>
      <c r="F18" s="10" t="inlineStr">
        <is>
          <t>Tanvir Ahmed (PM)</t>
        </is>
      </c>
    </row>
    <row r="19" ht="24" customHeight="1">
      <c r="A19" s="24" t="inlineStr">
        <is>
          <t>Core Technical &amp; Dev Team</t>
        </is>
      </c>
      <c r="B19" s="24" t="inlineStr">
        <is>
          <t>Daily Stand-Up &amp; Trello Sprint Board</t>
        </is>
      </c>
      <c r="C19" s="24" t="inlineStr">
        <is>
          <t>Review daily task progress, identify blockers, sync dependencies</t>
        </is>
      </c>
      <c r="D19" s="24" t="inlineStr">
        <is>
          <t>15-minute Morning Stand-up (Teams)</t>
        </is>
      </c>
      <c r="E19" s="10" t="inlineStr">
        <is>
          <t>Daily (Mon-Fri)</t>
        </is>
      </c>
      <c r="F19" s="10" t="inlineStr">
        <is>
          <t>MD Rejvi Jaman (Delivery Lead)</t>
        </is>
      </c>
    </row>
    <row r="20" ht="24" customHeight="1">
      <c r="A20" s="24" t="inlineStr">
        <is>
          <t>Faculty &amp; Academic Staff</t>
        </is>
      </c>
      <c r="B20" s="24" t="inlineStr">
        <is>
          <t>Staff Transition Bulletin &amp; Demo Videos</t>
        </is>
      </c>
      <c r="C20" s="24" t="inlineStr">
        <is>
          <t>Demonstrate grade entry UI, outline cutover timeline, set training dates</t>
        </is>
      </c>
      <c r="D20" s="24" t="inlineStr">
        <is>
          <t>Email Bulletin &amp; Intranet Portal</t>
        </is>
      </c>
      <c r="E20" s="10" t="inlineStr">
        <is>
          <t>Monthly</t>
        </is>
      </c>
      <c r="F20" s="10" t="inlineStr">
        <is>
          <t>Momen Ahmed (Governance Lead)</t>
        </is>
      </c>
    </row>
    <row r="21" ht="24" customHeight="1">
      <c r="A21" s="24" t="inlineStr">
        <is>
          <t>Student Body &amp; SRC</t>
        </is>
      </c>
      <c r="B21" s="24" t="inlineStr">
        <is>
          <t>OmniPortal Launch Updates &amp; FAQs</t>
        </is>
      </c>
      <c r="C21" s="24" t="inlineStr">
        <is>
          <t>Inform on feature benefits, mobile access, credentials migration</t>
        </is>
      </c>
      <c r="D21" s="24" t="inlineStr">
        <is>
          <t>Student News Hub, App notification, Instagram</t>
        </is>
      </c>
      <c r="E21" s="10" t="inlineStr">
        <is>
          <t>Bi-weekly / Milestone</t>
        </is>
      </c>
      <c r="F21" s="10" t="inlineStr">
        <is>
          <t>MD Rejvi Jaman (Change Lead)</t>
        </is>
      </c>
    </row>
    <row r="22" ht="24" customHeight="1">
      <c r="A22" s="24" t="inlineStr">
        <is>
          <t>Helpdesk &amp; Operations Team</t>
        </is>
      </c>
      <c r="B22" s="24" t="inlineStr">
        <is>
          <t>Technical Runbook &amp; Hypercare Protocols</t>
        </is>
      </c>
      <c r="C22" s="24" t="inlineStr">
        <is>
          <t>Equip tier-1 support with triage workflows and common resolutions</t>
        </is>
      </c>
      <c r="D22" s="24" t="inlineStr">
        <is>
          <t>Interactive Workshop &amp; Confluence Docs</t>
        </is>
      </c>
      <c r="E22" s="10" t="inlineStr">
        <is>
          <t>Sprint 5 &amp; Launch Week</t>
        </is>
      </c>
      <c r="F22" s="10" t="inlineStr">
        <is>
          <t>Tanvir Ahmed &amp; MD Rejvi Jaman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1" customWidth="1" min="3" max="3"/>
    <col width="47" customWidth="1" min="4" max="4"/>
    <col width="25" customWidth="1" min="5" max="5"/>
    <col width="27" customWidth="1" min="6" max="6"/>
    <col width="21" customWidth="1" min="7" max="7"/>
    <col width="25" customWidth="1" min="8" max="8"/>
  </cols>
  <sheetData>
    <row r="1">
      <c r="A1" s="1" t="inlineStr">
        <is>
          <t>PROJECT OMNIPORTAL — QUALITY METRICS, CHANGE CONTROL &amp; RACI</t>
        </is>
      </c>
    </row>
    <row r="2">
      <c r="A2" s="2" t="inlineStr">
        <is>
          <t>Section 4 Deliverables: Measurable Quality Thresholds, Approved Scope Change, and RACI Matrix</t>
        </is>
      </c>
    </row>
    <row r="3"/>
    <row r="4">
      <c r="A4" s="5" t="inlineStr">
        <is>
          <t>1. QUALITY REQUIREMENTS &amp; VERIFICATION METRICS</t>
        </is>
      </c>
    </row>
    <row r="5" ht="28" customHeight="1">
      <c r="A5" s="6" t="inlineStr">
        <is>
          <t>Quality Area</t>
        </is>
      </c>
      <c r="B5" s="6" t="inlineStr">
        <is>
          <t>Target Metric / Indicator</t>
        </is>
      </c>
      <c r="C5" s="6" t="inlineStr">
        <is>
          <t>Acceptance Threshold</t>
        </is>
      </c>
      <c r="D5" s="6" t="inlineStr">
        <is>
          <t>Measurement Method</t>
        </is>
      </c>
      <c r="E5" s="6" t="inlineStr">
        <is>
          <t>Frequency</t>
        </is>
      </c>
      <c r="F5" s="6" t="inlineStr">
        <is>
          <t>Control Action if Failed</t>
        </is>
      </c>
    </row>
    <row r="6" ht="24" customHeight="1">
      <c r="A6" s="24" t="inlineStr">
        <is>
          <t>System Availability</t>
        </is>
      </c>
      <c r="B6" s="24" t="inlineStr">
        <is>
          <t>Operational Uptime</t>
        </is>
      </c>
      <c r="C6" s="25" t="inlineStr">
        <is>
          <t>&gt;= 99.95% during semester terms</t>
        </is>
      </c>
      <c r="D6" s="24" t="inlineStr">
        <is>
          <t>AWS CloudWatch Synthetics / Pingdom</t>
        </is>
      </c>
      <c r="E6" s="10" t="inlineStr">
        <is>
          <t>Continuous (24/7)</t>
        </is>
      </c>
      <c r="F6" s="24" t="inlineStr">
        <is>
          <t>Failover to hot-standby AWS replica; page DevOps on-call immediately.</t>
        </is>
      </c>
    </row>
    <row r="7" ht="24" customHeight="1">
      <c r="A7" s="24" t="inlineStr">
        <is>
          <t>Performance &amp; Load</t>
        </is>
      </c>
      <c r="B7" s="24" t="inlineStr">
        <is>
          <t>Page Load Time at Peak Concurrent Users</t>
        </is>
      </c>
      <c r="C7" s="25" t="inlineStr">
        <is>
          <t>&lt; 1.8s load time at 12,000 concurrent sessions</t>
        </is>
      </c>
      <c r="D7" s="24" t="inlineStr">
        <is>
          <t>JMeter automated load testing script</t>
        </is>
      </c>
      <c r="E7" s="10" t="inlineStr">
        <is>
          <t>End of Sprint 4 &amp; 5</t>
        </is>
      </c>
      <c r="F7" s="24" t="inlineStr">
        <is>
          <t>Optimize database query indices; configure Redis caching for static timetable assets.</t>
        </is>
      </c>
    </row>
    <row r="8" ht="24" customHeight="1">
      <c r="A8" s="24" t="inlineStr">
        <is>
          <t>Data Migration Integrity</t>
        </is>
      </c>
      <c r="B8" s="24" t="inlineStr">
        <is>
          <t>Student Academic Records Fidelity</t>
        </is>
      </c>
      <c r="C8" s="25" t="inlineStr">
        <is>
          <t>100.0% accurate field match (zero data loss)</t>
        </is>
      </c>
      <c r="D8" s="24" t="inlineStr">
        <is>
          <t>Automated checksum hash comparison against legacy SIS</t>
        </is>
      </c>
      <c r="E8" s="10" t="inlineStr">
        <is>
          <t>At each ETL test run</t>
        </is>
      </c>
      <c r="F8" s="24" t="inlineStr">
        <is>
          <t>Halt cutover, execute script rollback, analyze schema mismatch log.</t>
        </is>
      </c>
    </row>
    <row r="9" ht="24" customHeight="1">
      <c r="A9" s="24" t="inlineStr">
        <is>
          <t>Software Defect Density</t>
        </is>
      </c>
      <c r="B9" s="24" t="inlineStr">
        <is>
          <t>Open Defect Count at UAT Exit</t>
        </is>
      </c>
      <c r="C9" s="25" t="inlineStr">
        <is>
          <t>Zero Severity-1 (Critical) or Severity-2 (High) defects</t>
        </is>
      </c>
      <c r="D9" s="24" t="inlineStr">
        <is>
          <t>Jira / Trello bug tracker triage</t>
        </is>
      </c>
      <c r="E9" s="10" t="inlineStr">
        <is>
          <t>Weekly bug scrub</t>
        </is>
      </c>
      <c r="F9" s="24" t="inlineStr">
        <is>
          <t>Mandate code-freeze sprint dedicated strictly to defect remediation.</t>
        </is>
      </c>
    </row>
    <row r="10" ht="24" customHeight="1">
      <c r="A10" s="24" t="inlineStr">
        <is>
          <t>Student Usability</t>
        </is>
      </c>
      <c r="B10" s="24" t="inlineStr">
        <is>
          <t>System Usability Scale (SUS) Score</t>
        </is>
      </c>
      <c r="C10" s="25" t="inlineStr">
        <is>
          <t>&gt;= 80/100 across 50 pilot student evaluators</t>
        </is>
      </c>
      <c r="D10" s="24" t="inlineStr">
        <is>
          <t>Standard SUS 10-question post-pilot survey</t>
        </is>
      </c>
      <c r="E10" s="10" t="inlineStr">
        <is>
          <t>Sprint 5 UAT</t>
        </is>
      </c>
      <c r="F10" s="24" t="inlineStr">
        <is>
          <t>Execute 3-day UX wireframe refinement focusing on low-scoring workflows.</t>
        </is>
      </c>
    </row>
    <row r="11" ht="24" customHeight="1">
      <c r="A11" s="24" t="inlineStr">
        <is>
          <t>Cybersecurity &amp; Privacy</t>
        </is>
      </c>
      <c r="B11" s="24" t="inlineStr">
        <is>
          <t>Vulnerability Severity Rating</t>
        </is>
      </c>
      <c r="C11" s="25" t="inlineStr">
        <is>
          <t>Zero High/Critical CVEs; OWASP Top 10 compliance</t>
        </is>
      </c>
      <c r="D11" s="24" t="inlineStr">
        <is>
          <t>Independent CREST-certified penetration test</t>
        </is>
      </c>
      <c r="E11" s="10" t="inlineStr">
        <is>
          <t>Pre-Deployment (Wk 20)</t>
        </is>
      </c>
      <c r="F11" s="24" t="inlineStr">
        <is>
          <t>Remediate code vulnerabilities within 72 hours; rerun automated security scan.</t>
        </is>
      </c>
    </row>
    <row r="12"/>
    <row r="13">
      <c r="A13" s="5" t="inlineStr">
        <is>
          <t>2. FORMAL CHANGE MANAGEMENT LOG — CHANGE REQUEST CR-01</t>
        </is>
      </c>
    </row>
    <row r="14" ht="24" customHeight="1">
      <c r="A14" s="3" t="inlineStr">
        <is>
          <t>Change Request ID</t>
        </is>
      </c>
      <c r="B14" s="24" t="inlineStr">
        <is>
          <t>CR-01</t>
        </is>
      </c>
    </row>
    <row r="15" ht="24" customHeight="1">
      <c r="A15" s="3" t="inlineStr">
        <is>
          <t>Change Title</t>
        </is>
      </c>
      <c r="B15" s="24" t="inlineStr">
        <is>
          <t>Mandatory Multi-Factor Authentication (MFA) &amp; Mobile Push SSO Integration</t>
        </is>
      </c>
    </row>
    <row r="16" ht="24" customHeight="1">
      <c r="A16" s="3" t="inlineStr">
        <is>
          <t>Date Submitted / Originator</t>
        </is>
      </c>
      <c r="B16" s="24" t="inlineStr">
        <is>
          <t>14-Apr-2026 | University Cybersecurity Advisory Board</t>
        </is>
      </c>
    </row>
    <row r="17" ht="40" customHeight="1">
      <c r="A17" s="3" t="inlineStr">
        <is>
          <t>Reason for Change</t>
        </is>
      </c>
      <c r="B17" s="24" t="inlineStr">
        <is>
          <t>New Australian Cyber Security Centre (ACSC) Essential Eight directives requiring mandatory MFA for all tertiary education portals containing sensitive student financial and personal records.</t>
        </is>
      </c>
    </row>
    <row r="18" ht="40" customHeight="1">
      <c r="A18" s="3" t="inlineStr">
        <is>
          <t>Scope Impact</t>
        </is>
      </c>
      <c r="B18" s="24" t="inlineStr">
        <is>
          <t>Add Twilio SMS verification microservice, Authenticator app TOTP hooks, and 'Remember Device for 30 Days' secure cookie logic.</t>
        </is>
      </c>
    </row>
    <row r="19" ht="40" customHeight="1">
      <c r="A19" s="3" t="inlineStr">
        <is>
          <t>Schedule Impact</t>
        </is>
      </c>
      <c r="B19" s="24" t="inlineStr">
        <is>
          <t>+8 Working Days to Sprint 1 authentication track. Absorbed by fast-tracking UI testing in parallel with Sprint 2 development (Zero net change to 17-Jul-2026 Go-Live date).</t>
        </is>
      </c>
    </row>
    <row r="20" ht="40" customHeight="1">
      <c r="A20" s="3" t="inlineStr">
        <is>
          <t>Cost Impact</t>
        </is>
      </c>
      <c r="B20" s="24" t="inlineStr">
        <is>
          <t>+$14,500 AUD (Twilio SMS setup, security developer sprint effort). Funded entirely from the $38,500 Contingency Reserve. Baseline budget remains unaffected.</t>
        </is>
      </c>
    </row>
    <row r="21" ht="40" customHeight="1">
      <c r="A21" s="3" t="inlineStr">
        <is>
          <t>Risk Impact</t>
        </is>
      </c>
      <c r="B21" s="24" t="inlineStr">
        <is>
          <t>Drastically reduces risk R04 (Data Breach) from High to Low. Introduces minor user friction risk (R10), mitigated by self-service onboarding wizard.</t>
        </is>
      </c>
    </row>
    <row r="22" ht="40" customHeight="1">
      <c r="A22" s="3" t="inlineStr">
        <is>
          <t>CCB Evaluation &amp; Decision</t>
        </is>
      </c>
      <c r="B22" s="36" t="inlineStr">
        <is>
          <t>APPROVED by Project Sponsor (CIO) and Steering Committee on 18-Apr-2026. Incorporated into Sprint 3 development baseline.</t>
        </is>
      </c>
    </row>
    <row r="23"/>
    <row r="24">
      <c r="A24" s="5" t="inlineStr">
        <is>
          <t>3. RACI RESPONSIBILITY ASSIGNMENT MATRIX</t>
        </is>
      </c>
    </row>
    <row r="25">
      <c r="A25" s="2" t="inlineStr">
        <is>
          <t>R = Responsible (Completes work) | A = Accountable (Final decision) | C = Consulted (Provides input) | I = Informed (Kept updated)</t>
        </is>
      </c>
    </row>
    <row r="26" ht="28" customHeight="1">
      <c r="A26" s="6" t="inlineStr">
        <is>
          <t>WBS Phase / Activity</t>
        </is>
      </c>
      <c r="B26" s="6" t="inlineStr">
        <is>
          <t>Sponsor (CIO)</t>
        </is>
      </c>
      <c r="C26" s="6" t="inlineStr">
        <is>
          <t>Project Manager</t>
        </is>
      </c>
      <c r="D26" s="6" t="inlineStr">
        <is>
          <t>Solutions Architect</t>
        </is>
      </c>
      <c r="E26" s="6" t="inlineStr">
        <is>
          <t>Lead Dev Team</t>
        </is>
      </c>
      <c r="F26" s="6" t="inlineStr">
        <is>
          <t>DB Migration Lead</t>
        </is>
      </c>
      <c r="G26" s="6" t="inlineStr">
        <is>
          <t>QA &amp; Security Lead</t>
        </is>
      </c>
      <c r="H26" s="6" t="inlineStr">
        <is>
          <t>Change &amp; Training Lead</t>
        </is>
      </c>
    </row>
    <row r="27" ht="22" customHeight="1">
      <c r="A27" s="37" t="inlineStr">
        <is>
          <t>1.0 Project Initiation &amp; Charter Sign-off</t>
        </is>
      </c>
      <c r="B27" s="38" t="inlineStr">
        <is>
          <t>A</t>
        </is>
      </c>
      <c r="C27" s="39" t="inlineStr">
        <is>
          <t>R</t>
        </is>
      </c>
      <c r="D27" s="40" t="inlineStr">
        <is>
          <t>C</t>
        </is>
      </c>
      <c r="E27" s="41" t="inlineStr">
        <is>
          <t>I</t>
        </is>
      </c>
      <c r="F27" s="41" t="inlineStr">
        <is>
          <t>I</t>
        </is>
      </c>
      <c r="G27" s="41" t="inlineStr">
        <is>
          <t>I</t>
        </is>
      </c>
      <c r="H27" s="40" t="inlineStr">
        <is>
          <t>C</t>
        </is>
      </c>
    </row>
    <row r="28" ht="22" customHeight="1">
      <c r="A28" s="37" t="inlineStr">
        <is>
          <t>2.0 Requirements &amp; Architectural Blueprint</t>
        </is>
      </c>
      <c r="B28" s="41" t="inlineStr">
        <is>
          <t>I</t>
        </is>
      </c>
      <c r="C28" s="38" t="inlineStr">
        <is>
          <t>A</t>
        </is>
      </c>
      <c r="D28" s="39" t="inlineStr">
        <is>
          <t>R</t>
        </is>
      </c>
      <c r="E28" s="40" t="inlineStr">
        <is>
          <t>C</t>
        </is>
      </c>
      <c r="F28" s="40" t="inlineStr">
        <is>
          <t>C</t>
        </is>
      </c>
      <c r="G28" s="40" t="inlineStr">
        <is>
          <t>C</t>
        </is>
      </c>
      <c r="H28" s="40" t="inlineStr">
        <is>
          <t>C</t>
        </is>
      </c>
    </row>
    <row r="29" ht="22" customHeight="1">
      <c r="A29" s="37" t="inlineStr">
        <is>
          <t>3.0 Data Migration, Cleansing &amp; DB Setup</t>
        </is>
      </c>
      <c r="B29" s="41" t="inlineStr">
        <is>
          <t>I</t>
        </is>
      </c>
      <c r="C29" s="38" t="inlineStr">
        <is>
          <t>A</t>
        </is>
      </c>
      <c r="D29" s="40" t="inlineStr">
        <is>
          <t>C</t>
        </is>
      </c>
      <c r="E29" s="40" t="inlineStr">
        <is>
          <t>C</t>
        </is>
      </c>
      <c r="F29" s="39" t="inlineStr">
        <is>
          <t>R</t>
        </is>
      </c>
      <c r="G29" s="40" t="inlineStr">
        <is>
          <t>C</t>
        </is>
      </c>
      <c r="H29" s="41" t="inlineStr">
        <is>
          <t>I</t>
        </is>
      </c>
    </row>
    <row r="30" ht="22" customHeight="1">
      <c r="A30" s="37" t="inlineStr">
        <is>
          <t>4.0 Core Portal Development &amp; Sprint Delivery</t>
        </is>
      </c>
      <c r="B30" s="41" t="inlineStr">
        <is>
          <t>I</t>
        </is>
      </c>
      <c r="C30" s="38" t="inlineStr">
        <is>
          <t>A</t>
        </is>
      </c>
      <c r="D30" s="40" t="inlineStr">
        <is>
          <t>C</t>
        </is>
      </c>
      <c r="E30" s="39" t="inlineStr">
        <is>
          <t>R</t>
        </is>
      </c>
      <c r="F30" s="40" t="inlineStr">
        <is>
          <t>C</t>
        </is>
      </c>
      <c r="G30" s="40" t="inlineStr">
        <is>
          <t>C</t>
        </is>
      </c>
      <c r="H30" s="41" t="inlineStr">
        <is>
          <t>I</t>
        </is>
      </c>
    </row>
    <row r="31" ht="22" customHeight="1">
      <c r="A31" s="37" t="inlineStr">
        <is>
          <t>5.0 Testing, Security Audit &amp; UAT</t>
        </is>
      </c>
      <c r="B31" s="41" t="inlineStr">
        <is>
          <t>I</t>
        </is>
      </c>
      <c r="C31" s="38" t="inlineStr">
        <is>
          <t>A</t>
        </is>
      </c>
      <c r="D31" s="40" t="inlineStr">
        <is>
          <t>C</t>
        </is>
      </c>
      <c r="E31" s="40" t="inlineStr">
        <is>
          <t>C</t>
        </is>
      </c>
      <c r="F31" s="40" t="inlineStr">
        <is>
          <t>C</t>
        </is>
      </c>
      <c r="G31" s="39" t="inlineStr">
        <is>
          <t>R</t>
        </is>
      </c>
      <c r="H31" s="40" t="inlineStr">
        <is>
          <t>C</t>
        </is>
      </c>
    </row>
    <row r="32" ht="22" customHeight="1">
      <c r="A32" s="37" t="inlineStr">
        <is>
          <t>6.0 Change Training, Cutover &amp; Project Closure</t>
        </is>
      </c>
      <c r="B32" s="38" t="inlineStr">
        <is>
          <t>A</t>
        </is>
      </c>
      <c r="C32" s="39" t="inlineStr">
        <is>
          <t>R</t>
        </is>
      </c>
      <c r="D32" s="40" t="inlineStr">
        <is>
          <t>C</t>
        </is>
      </c>
      <c r="E32" s="40" t="inlineStr">
        <is>
          <t>C</t>
        </is>
      </c>
      <c r="F32" s="40" t="inlineStr">
        <is>
          <t>C</t>
        </is>
      </c>
      <c r="G32" s="40" t="inlineStr">
        <is>
          <t>C</t>
        </is>
      </c>
      <c r="H32" s="39" t="inlineStr">
        <is>
          <t>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2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PROJECT OMNIPORTAL — STATUS &amp; EARNED VALUE MANAGEMENT (EVM) DASHBOARD</t>
        </is>
      </c>
    </row>
    <row r="2">
      <c r="A2" s="2" t="inlineStr">
        <is>
          <t>Mid-Project Progress Review at Week 14 (Data Date: 08 May 2026)</t>
        </is>
      </c>
    </row>
    <row r="3"/>
    <row r="4" ht="22" customHeight="1">
      <c r="A4" s="42" t="inlineStr">
        <is>
          <t>PLANNED VALUE (PV)</t>
        </is>
      </c>
      <c r="B4" s="42" t="inlineStr">
        <is>
          <t>EARNED VALUE (EV)</t>
        </is>
      </c>
      <c r="C4" s="42" t="inlineStr">
        <is>
          <t>ACTUAL COST (AC)</t>
        </is>
      </c>
      <c r="D4" s="42" t="inlineStr">
        <is>
          <t>SCHEDULE VAR (SV)</t>
        </is>
      </c>
      <c r="E4" s="42" t="inlineStr">
        <is>
          <t>COST VAR (CV)</t>
        </is>
      </c>
      <c r="F4" s="42" t="inlineStr">
        <is>
          <t>SPI (EV / PV)</t>
        </is>
      </c>
      <c r="G4" s="42" t="inlineStr">
        <is>
          <t>CPI (EV / AC)</t>
        </is>
      </c>
    </row>
    <row r="5" ht="28" customHeight="1">
      <c r="A5" s="43" t="n">
        <v>225000</v>
      </c>
      <c r="B5" s="43" t="n">
        <v>198000</v>
      </c>
      <c r="C5" s="43" t="n">
        <v>210000</v>
      </c>
      <c r="D5" s="44">
        <f>B5-A5</f>
        <v/>
      </c>
      <c r="E5" s="44">
        <f>B5-C5</f>
        <v/>
      </c>
      <c r="F5" s="45">
        <f>B5/A5</f>
        <v/>
      </c>
      <c r="G5" s="45">
        <f>B5/C5</f>
        <v/>
      </c>
    </row>
    <row r="6"/>
    <row r="7">
      <c r="A7" s="5" t="inlineStr">
        <is>
          <t>EVM FORECASTING &amp; VARIANCE ANALYSIS</t>
        </is>
      </c>
    </row>
    <row r="8" ht="22" customHeight="1">
      <c r="A8" s="20" t="inlineStr">
        <is>
          <t>Budget at Completion (BAC)</t>
        </is>
      </c>
      <c r="B8" s="21" t="n">
        <v>385000</v>
      </c>
      <c r="C8" s="19" t="inlineStr">
        <is>
          <t>Approved Base Cost Baseline excluding management reserve</t>
        </is>
      </c>
    </row>
    <row r="9" ht="22" customHeight="1">
      <c r="A9" s="20" t="inlineStr">
        <is>
          <t>Estimate at Completion (EAC)</t>
        </is>
      </c>
      <c r="B9" s="21">
        <f>B8/G5</f>
        <v/>
      </c>
      <c r="C9" s="19" t="inlineStr">
        <is>
          <t>EAC = BAC / CPI (Predicts total cost if current spending efficiency continues: $408,271)</t>
        </is>
      </c>
    </row>
    <row r="10" ht="22" customHeight="1">
      <c r="A10" s="20" t="inlineStr">
        <is>
          <t>Variance at Completion (VAC)</t>
        </is>
      </c>
      <c r="B10" s="21">
        <f>B8-B9</f>
        <v/>
      </c>
      <c r="C10" s="19" t="inlineStr">
        <is>
          <t>VAC = BAC - EAC (-$23,271 projected overrun if uncorrected; fully covered by $38.5k contingency)</t>
        </is>
      </c>
    </row>
    <row r="11" ht="22" customHeight="1">
      <c r="A11" s="20" t="inlineStr">
        <is>
          <t>To-Complete Performance Index (TCPI)</t>
        </is>
      </c>
      <c r="B11" s="46">
        <f>(B8-B5)/(B8-C5)</f>
        <v/>
      </c>
      <c r="C11" s="19" t="inlineStr">
        <is>
          <t>Cost efficiency required on remaining work to achieve original BAC: 1.068</t>
        </is>
      </c>
    </row>
    <row r="12" ht="22" customHeight="1">
      <c r="A12" s="20" t="inlineStr">
        <is>
          <t>Schedule Status</t>
        </is>
      </c>
      <c r="B12" s="25" t="inlineStr">
        <is>
          <t>10 Days Behind Plan (SPI = 0.880)</t>
        </is>
      </c>
      <c r="C12" s="19" t="inlineStr">
        <is>
          <t>Critical path activity 3.2 (Automated ETL Scripts) encountered legacy schema errors.</t>
        </is>
      </c>
    </row>
    <row r="13" ht="22" customHeight="1">
      <c r="A13" s="20" t="inlineStr">
        <is>
          <t>Cost Status</t>
        </is>
      </c>
      <c r="B13" s="25" t="inlineStr">
        <is>
          <t>$12,000 Unfavourable Variance (CPI = 0.943)</t>
        </is>
      </c>
      <c r="C13" s="19" t="inlineStr">
        <is>
          <t>Additional senior database engineering hours required to resolve foreign-key schema conflicts.</t>
        </is>
      </c>
    </row>
    <row r="14"/>
    <row r="15">
      <c r="A15" s="5" t="inlineStr">
        <is>
          <t>CRITICAL VARIANCE &amp; CORRECTIVE MANAGEMENT ACTION REPORT</t>
        </is>
      </c>
    </row>
    <row r="16" ht="42" customHeight="1">
      <c r="A16" s="3" t="inlineStr">
        <is>
          <t>Identified Variance</t>
        </is>
      </c>
      <c r="B16" s="24" t="inlineStr">
        <is>
          <t>At Week 14, cumulative earned progress is 51.4% against a planned baseline of 58.4% (SPI = 0.880, Schedule Variance = -$27,000; 10 business days delayed on Critical Path task 3.2). Cost variance is -$12,000 (CPI = 0.943).</t>
        </is>
      </c>
    </row>
    <row r="17" ht="42" customHeight="1">
      <c r="A17" s="3" t="inlineStr">
        <is>
          <t>Root Cause Analysis</t>
        </is>
      </c>
      <c r="B17" s="24" t="inlineStr">
        <is>
          <t>Legacy Ellucian Banner database contained 14 unindexed tables and inconsistent student address data models that caused automated ETL transformation scripts to crash repeatedly during test runs, requiring unexpected schema normalization.</t>
        </is>
      </c>
    </row>
    <row r="18" ht="42" customHeight="1">
      <c r="A18" s="3" t="inlineStr">
        <is>
          <t>Management Decision &amp; Corrective Action</t>
        </is>
      </c>
      <c r="B18" s="24" t="inlineStr">
        <is>
          <t>1. Fast-Tracking / Crashing: Allocated $6,800 from the Contingency Reserve to onboard an external Senior ETL Data Engineer for 10 days to run data cleansing in parallel with API stub creation.
2. Work Sequence Adjustment: Re-sequenced Sprint 3 (Course Enrolment) front-end mockups to begin immediately using simulated mock data rather than waiting for 100% database population.
3. Outcome: Recovered 7 of the 10 lost days by Week 16; SPI rebounded to 0.96; final go-live milestone remains protected.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45" customWidth="1" min="3" max="3"/>
    <col width="24" customWidth="1" min="4" max="4"/>
    <col width="28" customWidth="1" min="5" max="5"/>
    <col width="38" customWidth="1" min="6" max="6"/>
    <col width="18" customWidth="1" min="7" max="7"/>
    <col width="14" customWidth="1" min="8" max="8"/>
  </cols>
  <sheetData>
    <row r="1">
      <c r="A1" s="1" t="inlineStr">
        <is>
          <t>PROJECT OMNIPORTAL — ISSUE LOG, CLOSURE CHECKLIST &amp; BENEFITS REALISATION</t>
        </is>
      </c>
    </row>
    <row r="2">
      <c r="A2" s="2" t="inlineStr">
        <is>
          <t>Operational Issue Tracking, Handover Verification and Long-term Realisation Targets</t>
        </is>
      </c>
    </row>
    <row r="3"/>
    <row r="4">
      <c r="A4" s="5" t="inlineStr">
        <is>
          <t>1. PROJECT ISSUE LOG &amp; RESOLUTIONS</t>
        </is>
      </c>
    </row>
    <row r="5" ht="28" customHeight="1">
      <c r="A5" s="6" t="inlineStr">
        <is>
          <t>Issue ID</t>
        </is>
      </c>
      <c r="B5" s="6" t="inlineStr">
        <is>
          <t>Issue Description</t>
        </is>
      </c>
      <c r="C5" s="6" t="inlineStr">
        <is>
          <t>Severity</t>
        </is>
      </c>
      <c r="D5" s="6" t="inlineStr">
        <is>
          <t>Date Raised</t>
        </is>
      </c>
      <c r="E5" s="6" t="inlineStr">
        <is>
          <t>Owner</t>
        </is>
      </c>
      <c r="F5" s="6" t="inlineStr">
        <is>
          <t>Corrective Action Taken</t>
        </is>
      </c>
      <c r="G5" s="6" t="inlineStr">
        <is>
          <t>Resolution Date</t>
        </is>
      </c>
      <c r="H5" s="6" t="inlineStr">
        <is>
          <t>Status</t>
        </is>
      </c>
    </row>
    <row r="6" ht="28" customHeight="1">
      <c r="A6" s="10" t="inlineStr">
        <is>
          <t>ISS-01</t>
        </is>
      </c>
      <c r="B6" s="24" t="inlineStr">
        <is>
          <t>Legacy Banner database lacked composite foreign key indices, creating 14-hour ETL batch execution times.</t>
        </is>
      </c>
      <c r="C6" s="10" t="inlineStr">
        <is>
          <t>High</t>
        </is>
      </c>
      <c r="D6" s="10" t="inlineStr">
        <is>
          <t>12-Apr-2026</t>
        </is>
      </c>
      <c r="E6" s="24" t="inlineStr">
        <is>
          <t>Momen Ahmed</t>
        </is>
      </c>
      <c r="F6" s="24" t="inlineStr">
        <is>
          <t>Created temporary staging indices and partitioned student record batches by cohort year. ETL time reduced to 42 minutes.</t>
        </is>
      </c>
      <c r="G6" s="10" t="inlineStr">
        <is>
          <t>22-Apr-2026</t>
        </is>
      </c>
      <c r="H6" s="35" t="inlineStr">
        <is>
          <t>Closed</t>
        </is>
      </c>
    </row>
    <row r="7" ht="28" customHeight="1">
      <c r="A7" s="10" t="inlineStr">
        <is>
          <t>ISS-02</t>
        </is>
      </c>
      <c r="B7" s="24" t="inlineStr">
        <is>
          <t>UAT pilot users reported confusion regarding multi-step course cart checkout and fee breakdown.</t>
        </is>
      </c>
      <c r="C7" s="10" t="inlineStr">
        <is>
          <t>Medium</t>
        </is>
      </c>
      <c r="D7" s="10" t="inlineStr">
        <is>
          <t>02-May-2026</t>
        </is>
      </c>
      <c r="E7" s="24" t="inlineStr">
        <is>
          <t>MD Rejvi Jaman</t>
        </is>
      </c>
      <c r="F7" s="24" t="inlineStr">
        <is>
          <t>Conducted rapid 3-day UX wireframe redesign; implemented a streamlined 2-step checkout wizard with clear fee summaries.</t>
        </is>
      </c>
      <c r="G7" s="10" t="inlineStr">
        <is>
          <t>10-May-2026</t>
        </is>
      </c>
      <c r="H7" s="35" t="inlineStr">
        <is>
          <t>Closed</t>
        </is>
      </c>
    </row>
    <row r="8" ht="28" customHeight="1">
      <c r="A8" s="10" t="inlineStr">
        <is>
          <t>ISS-03</t>
        </is>
      </c>
      <c r="B8" s="24" t="inlineStr">
        <is>
          <t>Stripe payment gateway sandbox webhook timeouts during bulk payment simulations.</t>
        </is>
      </c>
      <c r="C8" s="10" t="inlineStr">
        <is>
          <t>Medium</t>
        </is>
      </c>
      <c r="D8" s="10" t="inlineStr">
        <is>
          <t>14-May-2026</t>
        </is>
      </c>
      <c r="E8" s="24" t="inlineStr">
        <is>
          <t>Tanvir Ahmed</t>
        </is>
      </c>
      <c r="F8" s="24" t="inlineStr">
        <is>
          <t>Configured asynchronous Redis message queue with exponential backoff and automatic retry handler.</t>
        </is>
      </c>
      <c r="G8" s="10" t="inlineStr">
        <is>
          <t>21-May-2026</t>
        </is>
      </c>
      <c r="H8" s="35" t="inlineStr">
        <is>
          <t>Closed</t>
        </is>
      </c>
    </row>
    <row r="9"/>
    <row r="10"/>
    <row r="11">
      <c r="A11" s="5" t="inlineStr">
        <is>
          <t>2. PROJECT CLOSURE &amp; OPERATIONAL HANDOVER CHECKLIST</t>
        </is>
      </c>
    </row>
    <row r="12" ht="28" customHeight="1">
      <c r="A12" s="6" t="inlineStr">
        <is>
          <t>Checklist Item</t>
        </is>
      </c>
      <c r="B12" s="6" t="inlineStr">
        <is>
          <t>Category</t>
        </is>
      </c>
      <c r="C12" s="6" t="inlineStr">
        <is>
          <t>Verification Criteria</t>
        </is>
      </c>
      <c r="D12" s="6" t="inlineStr">
        <is>
          <t>Responsible Party</t>
        </is>
      </c>
      <c r="E12" s="6" t="inlineStr">
        <is>
          <t>Sign-Off Status</t>
        </is>
      </c>
    </row>
    <row r="13" ht="24" customHeight="1">
      <c r="A13" s="24" t="inlineStr">
        <is>
          <t>All 28 WBS deliverables completed and verified against scope criteria</t>
        </is>
      </c>
      <c r="B13" s="10" t="inlineStr">
        <is>
          <t>Deliverables</t>
        </is>
      </c>
      <c r="C13" s="24" t="inlineStr">
        <is>
          <t>100% acceptance certificates signed by Registrar &amp; CIO</t>
        </is>
      </c>
      <c r="D13" s="10" t="inlineStr">
        <is>
          <t>Tanvir Ahmed (PM)</t>
        </is>
      </c>
      <c r="E13" s="35" t="inlineStr">
        <is>
          <t>Approved</t>
        </is>
      </c>
    </row>
    <row r="14" ht="24" customHeight="1">
      <c r="A14" s="24" t="inlineStr">
        <is>
          <t>Legacy portal data successfully extracted, verified and decommissioned</t>
        </is>
      </c>
      <c r="B14" s="10" t="inlineStr">
        <is>
          <t>Data &amp; Infrastructure</t>
        </is>
      </c>
      <c r="C14" s="24" t="inlineStr">
        <is>
          <t>Zero data loss audit confirmed; old servers archived</t>
        </is>
      </c>
      <c r="D14" s="10" t="inlineStr">
        <is>
          <t>Momen Ahmed (DB Lead)</t>
        </is>
      </c>
      <c r="E14" s="35" t="inlineStr">
        <is>
          <t>Approved</t>
        </is>
      </c>
    </row>
    <row r="15" ht="24" customHeight="1">
      <c r="A15" s="24" t="inlineStr">
        <is>
          <t>Final independent penetration test and security audit cleared</t>
        </is>
      </c>
      <c r="B15" s="10" t="inlineStr">
        <is>
          <t>Governance &amp; Privacy</t>
        </is>
      </c>
      <c r="C15" s="24" t="inlineStr">
        <is>
          <t>Zero critical/high vulnerabilities; ISO 27001 certificate</t>
        </is>
      </c>
      <c r="D15" s="10" t="inlineStr">
        <is>
          <t>Security Lead</t>
        </is>
      </c>
      <c r="E15" s="35" t="inlineStr">
        <is>
          <t>Approved</t>
        </is>
      </c>
    </row>
    <row r="16" ht="24" customHeight="1">
      <c r="A16" s="24" t="inlineStr">
        <is>
          <t>Operational Runbook and tier-1/tier-2 support triage guides published</t>
        </is>
      </c>
      <c r="B16" s="10" t="inlineStr">
        <is>
          <t>Operations</t>
        </is>
      </c>
      <c r="C16" s="24" t="inlineStr">
        <is>
          <t>Full documentation uploaded to IT Service Desk Confluence</t>
        </is>
      </c>
      <c r="D16" s="10" t="inlineStr">
        <is>
          <t>MD Rejvi Jaman</t>
        </is>
      </c>
      <c r="E16" s="35" t="inlineStr">
        <is>
          <t>Approved</t>
        </is>
      </c>
    </row>
    <row r="17" ht="24" customHeight="1">
      <c r="A17" s="24" t="inlineStr">
        <is>
          <t>End-user training completed (94% staff completion; student video live)</t>
        </is>
      </c>
      <c r="B17" s="10" t="inlineStr">
        <is>
          <t>Change Management</t>
        </is>
      </c>
      <c r="C17" s="24" t="inlineStr">
        <is>
          <t>Training LMS logs verified; student feedback &gt;= 85%</t>
        </is>
      </c>
      <c r="D17" s="10" t="inlineStr">
        <is>
          <t>Change Lead</t>
        </is>
      </c>
      <c r="E17" s="35" t="inlineStr">
        <is>
          <t>Approved</t>
        </is>
      </c>
    </row>
    <row r="18" ht="24" customHeight="1">
      <c r="A18" s="24" t="inlineStr">
        <is>
          <t>Financial accounts closed, supplier contracts reconciled and audited</t>
        </is>
      </c>
      <c r="B18" s="10" t="inlineStr">
        <is>
          <t>Financial</t>
        </is>
      </c>
      <c r="C18" s="24" t="inlineStr">
        <is>
          <t>Final cost audit confirmed within approved $450k envelope</t>
        </is>
      </c>
      <c r="D18" s="10" t="inlineStr">
        <is>
          <t>Momen Ahmed &amp; Finance</t>
        </is>
      </c>
      <c r="E18" s="35" t="inlineStr">
        <is>
          <t>Approved</t>
        </is>
      </c>
    </row>
    <row r="19"/>
    <row r="20"/>
    <row r="21">
      <c r="A21" s="5" t="inlineStr">
        <is>
          <t>3. POST-LAUNCH BENEFITS REALISATION SCHEDULE</t>
        </is>
      </c>
    </row>
    <row r="22" ht="28" customHeight="1">
      <c r="A22" s="6" t="inlineStr">
        <is>
          <t>Strategic Benefit</t>
        </is>
      </c>
      <c r="B22" s="6" t="inlineStr">
        <is>
          <t>Baseline Metric (Pre-Project)</t>
        </is>
      </c>
      <c r="C22" s="6" t="inlineStr">
        <is>
          <t>Target Metric (Post-Project)</t>
        </is>
      </c>
      <c r="D22" s="6" t="inlineStr">
        <is>
          <t>Evaluation Timeline</t>
        </is>
      </c>
      <c r="E22" s="6" t="inlineStr">
        <is>
          <t>Benefit Owner</t>
        </is>
      </c>
    </row>
    <row r="23" ht="24" customHeight="1">
      <c r="A23" s="24" t="inlineStr">
        <is>
          <t>Reduction in Student Enrolment Helpdesk Enquiries</t>
        </is>
      </c>
      <c r="B23" s="24" t="inlineStr">
        <is>
          <t>4,200 enquiries / semester</t>
        </is>
      </c>
      <c r="C23" s="24" t="inlineStr">
        <is>
          <t>&lt; 2,100 enquiries (50% reduction)</t>
        </is>
      </c>
      <c r="D23" s="10" t="inlineStr">
        <is>
          <t>3 Months Post-Launch</t>
        </is>
      </c>
      <c r="E23" s="10" t="inlineStr">
        <is>
          <t>University Registrar</t>
        </is>
      </c>
    </row>
    <row r="24" ht="24" customHeight="1">
      <c r="A24" s="24" t="inlineStr">
        <is>
          <t>Annual Software Licensing &amp; Maintenance Cost Savings</t>
        </is>
      </c>
      <c r="B24" s="24" t="inlineStr">
        <is>
          <t>$185,000 / year across 4 systems</t>
        </is>
      </c>
      <c r="C24" s="24" t="inlineStr">
        <is>
          <t>&lt; $65,000 / year (Net saving: $120,000/yr)</t>
        </is>
      </c>
      <c r="D24" s="10" t="inlineStr">
        <is>
          <t>12 Months Post-Launch</t>
        </is>
      </c>
      <c r="E24" s="10" t="inlineStr">
        <is>
          <t>Chief Information Officer</t>
        </is>
      </c>
    </row>
    <row r="25" ht="24" customHeight="1">
      <c r="A25" s="24" t="inlineStr">
        <is>
          <t>Student Portal Usability &amp; Satisfaction Rating</t>
        </is>
      </c>
      <c r="B25" s="24" t="inlineStr">
        <is>
          <t>48% satisfaction on legacy portal</t>
        </is>
      </c>
      <c r="C25" s="24" t="inlineStr">
        <is>
          <t>&gt;= 85% positive rating on Student Survey</t>
        </is>
      </c>
      <c r="D25" s="10" t="inlineStr">
        <is>
          <t>6 Months Post-Launch</t>
        </is>
      </c>
      <c r="E25" s="10" t="inlineStr">
        <is>
          <t>Student Central Director</t>
        </is>
      </c>
    </row>
    <row r="26" ht="24" customHeight="1">
      <c r="A26" s="24" t="inlineStr">
        <is>
          <t>Course Enrolment Processing Speed</t>
        </is>
      </c>
      <c r="B26" s="24" t="inlineStr">
        <is>
          <t>Average 14.5 minutes per student</t>
        </is>
      </c>
      <c r="C26" s="24" t="inlineStr">
        <is>
          <t>&lt; 3.5 minutes per student</t>
        </is>
      </c>
      <c r="D26" s="10" t="inlineStr">
        <is>
          <t>1 Month Post-Launch</t>
        </is>
      </c>
      <c r="E26" s="10" t="inlineStr">
        <is>
          <t>Enrolment Operations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2026-09-28T01:26:50Z</dcterms:created>
  <dcterms:modified xmlns:dcterms="http://purl.org/dc/terms/" xmlns:xsi="http://www.w3.org/2001/XMLSchema-instance" xsi:type="dcterms:W3CDTF">2026-09-28T01:26:50Z</dcterms:modified>
</cp:coreProperties>
</file>